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ee4065569b3db8a/Desktop/Excel Files/"/>
    </mc:Choice>
  </mc:AlternateContent>
  <xr:revisionPtr revIDLastSave="0" documentId="8_{A4140488-1FDC-44C8-836D-133520170410}" xr6:coauthVersionLast="47" xr6:coauthVersionMax="47" xr10:uidLastSave="{00000000-0000-0000-0000-000000000000}"/>
  <bookViews>
    <workbookView xWindow="-120" yWindow="-120" windowWidth="15600" windowHeight="11040" firstSheet="1" activeTab="4" xr2:uid="{00000000-000D-0000-FFFF-FFFF00000000}"/>
  </bookViews>
  <sheets>
    <sheet name="Sensitivity Report 1" sheetId="1" r:id="rId1"/>
    <sheet name="Current" sheetId="2" r:id="rId2"/>
    <sheet name="LongTermData" sheetId="3" r:id="rId3"/>
    <sheet name="Current_STS" sheetId="4" state="veryHidden" r:id="rId4"/>
    <sheet name="Q4_CapacityExpansion" sheetId="5" r:id="rId5"/>
  </sheets>
  <definedNames>
    <definedName name="sencount" hidden="1">2</definedName>
    <definedName name="solver_adj" localSheetId="1" hidden="1">Current!$C$43:$D$45,Current!$C$51:$I$52</definedName>
    <definedName name="solver_adj" localSheetId="4" hidden="1">Q4_CapacityExpansion!$B$5:$C$10,Q4_CapacityExpansion!$B$14:$I$16,Q4_CapacityExpansion!$B$20:$H$27</definedName>
    <definedName name="solver_cvg" localSheetId="1" hidden="1">0.0001</definedName>
    <definedName name="solver_cvg" localSheetId="4" hidden="1">0.0001</definedName>
    <definedName name="solver_drv" localSheetId="1" hidden="1">1</definedName>
    <definedName name="solver_drv" localSheetId="4" hidden="1">1</definedName>
    <definedName name="solver_eng" localSheetId="1" hidden="1">2</definedName>
    <definedName name="solver_eng" localSheetId="4" hidden="1">2</definedName>
    <definedName name="solver_est" localSheetId="1" hidden="1">1</definedName>
    <definedName name="solver_est" localSheetId="4" hidden="1">1</definedName>
    <definedName name="solver_itr" localSheetId="1" hidden="1">2147483647</definedName>
    <definedName name="solver_itr" localSheetId="4" hidden="1">2147483647</definedName>
    <definedName name="solver_lhs1" localSheetId="1" hidden="1">Current!$C$47:$D$47</definedName>
    <definedName name="solver_lhs1" localSheetId="4" hidden="1">Q4_CapacityExpansion!$B$29:$H$29</definedName>
    <definedName name="solver_lhs2" localSheetId="1" hidden="1">Current!$C$53:$I$53</definedName>
    <definedName name="solver_lhs2" localSheetId="4" hidden="1">Q4_CapacityExpansion!$B$34:$B$41</definedName>
    <definedName name="solver_lhs3" localSheetId="1" hidden="1">Current!$E$43:$E$45</definedName>
    <definedName name="solver_lhs3" localSheetId="4" hidden="1">Q4_CapacityExpansion!$B$5:$C$10</definedName>
    <definedName name="solver_lhs4" localSheetId="1" hidden="1">Current!$J$51:$J$52</definedName>
    <definedName name="solver_lhs4" localSheetId="4" hidden="1">Q4_CapacityExpansion!$C$46:$C$51</definedName>
    <definedName name="solver_lhs5" localSheetId="4" hidden="1">Q4_CapacityExpansion!$F$34:$F$41</definedName>
    <definedName name="solver_lhs6" localSheetId="4" hidden="1">Q4_CapacityExpansion!$J$14:$J$16</definedName>
    <definedName name="solver_lin" localSheetId="1" hidden="1">1</definedName>
    <definedName name="solver_mip" localSheetId="1" hidden="1">2147483647</definedName>
    <definedName name="solver_mip" localSheetId="4" hidden="1">2147483647</definedName>
    <definedName name="solver_mni" localSheetId="1" hidden="1">30</definedName>
    <definedName name="solver_mni" localSheetId="4" hidden="1">30</definedName>
    <definedName name="solver_mrt" localSheetId="1" hidden="1">0.075</definedName>
    <definedName name="solver_mrt" localSheetId="4" hidden="1">0.075</definedName>
    <definedName name="solver_msl" localSheetId="1" hidden="1">2</definedName>
    <definedName name="solver_msl" localSheetId="4" hidden="1">2</definedName>
    <definedName name="solver_neg" localSheetId="1" hidden="1">1</definedName>
    <definedName name="solver_neg" localSheetId="4" hidden="1">1</definedName>
    <definedName name="solver_nod" localSheetId="1" hidden="1">2147483647</definedName>
    <definedName name="solver_nod" localSheetId="4" hidden="1">2147483647</definedName>
    <definedName name="solver_num" localSheetId="1" hidden="1">4</definedName>
    <definedName name="solver_num" localSheetId="4" hidden="1">6</definedName>
    <definedName name="solver_nwt" localSheetId="1" hidden="1">1</definedName>
    <definedName name="solver_nwt" localSheetId="4" hidden="1">1</definedName>
    <definedName name="solver_opt" localSheetId="1" hidden="1">Current!$K$55</definedName>
    <definedName name="solver_opt" localSheetId="4" hidden="1">Q4_CapacityExpansion!$B$88</definedName>
    <definedName name="solver_pre" localSheetId="1" hidden="1">0.000001</definedName>
    <definedName name="solver_pre" localSheetId="4" hidden="1">0.000001</definedName>
    <definedName name="solver_rbv" localSheetId="1" hidden="1">1</definedName>
    <definedName name="solver_rbv" localSheetId="4" hidden="1">1</definedName>
    <definedName name="solver_rel1" localSheetId="1" hidden="1">2</definedName>
    <definedName name="solver_rel1" localSheetId="4" hidden="1">2</definedName>
    <definedName name="solver_rel2" localSheetId="1" hidden="1">2</definedName>
    <definedName name="solver_rel2" localSheetId="4" hidden="1">1</definedName>
    <definedName name="solver_rel3" localSheetId="1" hidden="1">1</definedName>
    <definedName name="solver_rel3" localSheetId="4" hidden="1">5</definedName>
    <definedName name="solver_rel4" localSheetId="1" hidden="1">1</definedName>
    <definedName name="solver_rel4" localSheetId="4" hidden="1">1</definedName>
    <definedName name="solver_rel5" localSheetId="4" hidden="1">1</definedName>
    <definedName name="solver_rel6" localSheetId="4" hidden="1">1</definedName>
    <definedName name="solver_rhs1" localSheetId="1" hidden="1">Current!$J$51:$J$52</definedName>
    <definedName name="solver_rhs1" localSheetId="4" hidden="1">Q4_CapacityExpansion!$B$30:$H$30</definedName>
    <definedName name="solver_rhs2" localSheetId="1" hidden="1">Current!$C$54:$I$54</definedName>
    <definedName name="solver_rhs2" localSheetId="4" hidden="1">Q4_CapacityExpansion!$E$34:$E$41</definedName>
    <definedName name="solver_rhs3" localSheetId="1" hidden="1">Current!$F$43:$F$45</definedName>
    <definedName name="solver_rhs3" localSheetId="4" hidden="1">"binary"</definedName>
    <definedName name="solver_rhs4" localSheetId="1" hidden="1">Current!$K$51:$K$52</definedName>
    <definedName name="solver_rhs4" localSheetId="4" hidden="1">Q4_CapacityExpansion!$B$46:$B$51</definedName>
    <definedName name="solver_rhs5" localSheetId="4" hidden="1">Q4_CapacityExpansion!$G$34:$G$41</definedName>
    <definedName name="solver_rhs6" localSheetId="4" hidden="1">Q4_CapacityExpansion!$K$14:$K$16</definedName>
    <definedName name="solver_rlx" localSheetId="1" hidden="1">1</definedName>
    <definedName name="solver_rlx" localSheetId="4" hidden="1">2</definedName>
    <definedName name="solver_rsd" localSheetId="1" hidden="1">0</definedName>
    <definedName name="solver_rsd" localSheetId="4" hidden="1">0</definedName>
    <definedName name="solver_scl" localSheetId="1" hidden="1">2</definedName>
    <definedName name="solver_scl" localSheetId="4" hidden="1">1</definedName>
    <definedName name="solver_sho" localSheetId="1" hidden="1">2</definedName>
    <definedName name="solver_sho" localSheetId="4" hidden="1">2</definedName>
    <definedName name="solver_ssz" localSheetId="1" hidden="1">100</definedName>
    <definedName name="solver_ssz" localSheetId="4" hidden="1">100</definedName>
    <definedName name="solver_tim" localSheetId="1" hidden="1">2147483647</definedName>
    <definedName name="solver_tim" localSheetId="4" hidden="1">2147483647</definedName>
    <definedName name="solver_tol" localSheetId="1" hidden="1">0.01</definedName>
    <definedName name="solver_tol" localSheetId="4" hidden="1">0</definedName>
    <definedName name="solver_typ" localSheetId="1" hidden="1">2</definedName>
    <definedName name="solver_typ" localSheetId="4" hidden="1">2</definedName>
    <definedName name="solver_val" localSheetId="1" hidden="1">0</definedName>
    <definedName name="solver_val" localSheetId="4" hidden="1">0</definedName>
    <definedName name="solver_ver" localSheetId="1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" i="5" l="1"/>
  <c r="G81" i="5"/>
  <c r="F81" i="5"/>
  <c r="E81" i="5"/>
  <c r="D81" i="5"/>
  <c r="C81" i="5"/>
  <c r="B81" i="5"/>
  <c r="I81" i="5" s="1"/>
  <c r="H80" i="5"/>
  <c r="G80" i="5"/>
  <c r="F80" i="5"/>
  <c r="E80" i="5"/>
  <c r="D80" i="5"/>
  <c r="C80" i="5"/>
  <c r="B80" i="5"/>
  <c r="I80" i="5" s="1"/>
  <c r="H79" i="5"/>
  <c r="G79" i="5"/>
  <c r="F79" i="5"/>
  <c r="E79" i="5"/>
  <c r="D79" i="5"/>
  <c r="C79" i="5"/>
  <c r="B79" i="5"/>
  <c r="I79" i="5" s="1"/>
  <c r="H78" i="5"/>
  <c r="G78" i="5"/>
  <c r="F78" i="5"/>
  <c r="E78" i="5"/>
  <c r="D78" i="5"/>
  <c r="C78" i="5"/>
  <c r="B78" i="5"/>
  <c r="I78" i="5" s="1"/>
  <c r="H77" i="5"/>
  <c r="G77" i="5"/>
  <c r="F77" i="5"/>
  <c r="E77" i="5"/>
  <c r="D77" i="5"/>
  <c r="C77" i="5"/>
  <c r="B77" i="5"/>
  <c r="I77" i="5" s="1"/>
  <c r="H76" i="5"/>
  <c r="G76" i="5"/>
  <c r="F76" i="5"/>
  <c r="E76" i="5"/>
  <c r="D76" i="5"/>
  <c r="C76" i="5"/>
  <c r="B76" i="5"/>
  <c r="I76" i="5" s="1"/>
  <c r="H75" i="5"/>
  <c r="G75" i="5"/>
  <c r="F75" i="5"/>
  <c r="E75" i="5"/>
  <c r="D75" i="5"/>
  <c r="C75" i="5"/>
  <c r="B75" i="5"/>
  <c r="I75" i="5" s="1"/>
  <c r="H74" i="5"/>
  <c r="G74" i="5"/>
  <c r="F74" i="5"/>
  <c r="E74" i="5"/>
  <c r="D74" i="5"/>
  <c r="C74" i="5"/>
  <c r="B74" i="5"/>
  <c r="I74" i="5" s="1"/>
  <c r="I82" i="5" s="1"/>
  <c r="B87" i="5" s="1"/>
  <c r="I69" i="5"/>
  <c r="H69" i="5"/>
  <c r="G69" i="5"/>
  <c r="F69" i="5"/>
  <c r="E69" i="5"/>
  <c r="D69" i="5"/>
  <c r="C69" i="5"/>
  <c r="B69" i="5"/>
  <c r="J69" i="5" s="1"/>
  <c r="I68" i="5"/>
  <c r="H68" i="5"/>
  <c r="G68" i="5"/>
  <c r="F68" i="5"/>
  <c r="E68" i="5"/>
  <c r="D68" i="5"/>
  <c r="C68" i="5"/>
  <c r="B68" i="5"/>
  <c r="J68" i="5" s="1"/>
  <c r="I67" i="5"/>
  <c r="H67" i="5"/>
  <c r="G67" i="5"/>
  <c r="F67" i="5"/>
  <c r="E67" i="5"/>
  <c r="D67" i="5"/>
  <c r="C67" i="5"/>
  <c r="B67" i="5"/>
  <c r="J67" i="5" s="1"/>
  <c r="J70" i="5" s="1"/>
  <c r="B86" i="5" s="1"/>
  <c r="C62" i="5"/>
  <c r="B62" i="5"/>
  <c r="D62" i="5" s="1"/>
  <c r="C61" i="5"/>
  <c r="B61" i="5"/>
  <c r="D61" i="5" s="1"/>
  <c r="C60" i="5"/>
  <c r="B60" i="5"/>
  <c r="D60" i="5" s="1"/>
  <c r="C59" i="5"/>
  <c r="B59" i="5"/>
  <c r="D59" i="5" s="1"/>
  <c r="C58" i="5"/>
  <c r="B58" i="5"/>
  <c r="D58" i="5" s="1"/>
  <c r="C57" i="5"/>
  <c r="B57" i="5"/>
  <c r="D57" i="5" s="1"/>
  <c r="D63" i="5" s="1"/>
  <c r="B85" i="5" s="1"/>
  <c r="B88" i="5" s="1"/>
  <c r="C51" i="5"/>
  <c r="B51" i="5"/>
  <c r="C50" i="5"/>
  <c r="B50" i="5"/>
  <c r="C49" i="5"/>
  <c r="B49" i="5"/>
  <c r="C48" i="5"/>
  <c r="B48" i="5"/>
  <c r="C47" i="5"/>
  <c r="B47" i="5"/>
  <c r="C46" i="5"/>
  <c r="B46" i="5"/>
  <c r="G41" i="5"/>
  <c r="D41" i="5"/>
  <c r="C41" i="5"/>
  <c r="E41" i="5" s="1"/>
  <c r="G40" i="5"/>
  <c r="D40" i="5"/>
  <c r="C40" i="5"/>
  <c r="E40" i="5" s="1"/>
  <c r="G39" i="5"/>
  <c r="D39" i="5"/>
  <c r="C39" i="5"/>
  <c r="E39" i="5" s="1"/>
  <c r="G38" i="5"/>
  <c r="D38" i="5"/>
  <c r="C38" i="5"/>
  <c r="E38" i="5" s="1"/>
  <c r="G37" i="5"/>
  <c r="D37" i="5"/>
  <c r="C37" i="5"/>
  <c r="E37" i="5" s="1"/>
  <c r="G36" i="5"/>
  <c r="D36" i="5"/>
  <c r="C36" i="5"/>
  <c r="E36" i="5" s="1"/>
  <c r="G35" i="5"/>
  <c r="E35" i="5"/>
  <c r="G34" i="5"/>
  <c r="E34" i="5"/>
  <c r="H29" i="5"/>
  <c r="G29" i="5"/>
  <c r="F29" i="5"/>
  <c r="E29" i="5"/>
  <c r="D29" i="5"/>
  <c r="C29" i="5"/>
  <c r="B29" i="5"/>
  <c r="I27" i="5"/>
  <c r="B41" i="5" s="1"/>
  <c r="F41" i="5" s="1"/>
  <c r="I26" i="5"/>
  <c r="B40" i="5" s="1"/>
  <c r="F40" i="5" s="1"/>
  <c r="I25" i="5"/>
  <c r="B39" i="5" s="1"/>
  <c r="F39" i="5" s="1"/>
  <c r="I24" i="5"/>
  <c r="B38" i="5" s="1"/>
  <c r="F38" i="5" s="1"/>
  <c r="I23" i="5"/>
  <c r="B37" i="5" s="1"/>
  <c r="F37" i="5" s="1"/>
  <c r="I22" i="5"/>
  <c r="B36" i="5" s="1"/>
  <c r="F36" i="5" s="1"/>
  <c r="I21" i="5"/>
  <c r="B35" i="5" s="1"/>
  <c r="F35" i="5" s="1"/>
  <c r="I20" i="5"/>
  <c r="B34" i="5" s="1"/>
  <c r="F34" i="5" s="1"/>
  <c r="J16" i="5"/>
  <c r="J15" i="5"/>
  <c r="J14" i="5"/>
  <c r="K55" i="2"/>
  <c r="I53" i="2"/>
  <c r="H53" i="2"/>
  <c r="G53" i="2"/>
  <c r="F53" i="2"/>
  <c r="E53" i="2"/>
  <c r="D53" i="2"/>
  <c r="C53" i="2"/>
  <c r="K52" i="2"/>
  <c r="J52" i="2"/>
  <c r="K51" i="2"/>
  <c r="J51" i="2"/>
  <c r="D47" i="2"/>
  <c r="C47" i="2"/>
  <c r="D46" i="2"/>
  <c r="C46" i="2"/>
  <c r="E45" i="2"/>
  <c r="E44" i="2"/>
  <c r="E43" i="2"/>
  <c r="C15" i="2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3" i="1"/>
  <c r="J33" i="1"/>
  <c r="D46" i="5" l="1"/>
  <c r="D47" i="5"/>
  <c r="D48" i="5"/>
  <c r="D49" i="5"/>
  <c r="D50" i="5"/>
  <c r="D51" i="5"/>
</calcChain>
</file>

<file path=xl/sharedStrings.xml><?xml version="1.0" encoding="utf-8"?>
<sst xmlns="http://schemas.openxmlformats.org/spreadsheetml/2006/main" count="423" uniqueCount="222">
  <si>
    <t>Microsoft Excel 16.0 Sensitivity Report</t>
  </si>
  <si>
    <t>Worksheet: [EfesData.xlsx]Current</t>
  </si>
  <si>
    <t>Report Created: 2/12/2026 1:15:10 PM</t>
  </si>
  <si>
    <t>Variable Cells</t>
  </si>
  <si>
    <t>Final</t>
  </si>
  <si>
    <t>Reduced</t>
  </si>
  <si>
    <t>Objective</t>
  </si>
  <si>
    <t>Allowable</t>
  </si>
  <si>
    <t>Cell</t>
  </si>
  <si>
    <t>Name</t>
  </si>
  <si>
    <t>Value</t>
  </si>
  <si>
    <t>Cost</t>
  </si>
  <si>
    <t>Coefficient</t>
  </si>
  <si>
    <t>Increase</t>
  </si>
  <si>
    <t>Decrease</t>
  </si>
  <si>
    <t>$C$43</t>
  </si>
  <si>
    <t>Afyon Istanbul</t>
  </si>
  <si>
    <t>$D$43</t>
  </si>
  <si>
    <t>Afyon Ankara</t>
  </si>
  <si>
    <t>$C$44</t>
  </si>
  <si>
    <t>Konya Istanbul</t>
  </si>
  <si>
    <t>$D$44</t>
  </si>
  <si>
    <t>Konya Ankara</t>
  </si>
  <si>
    <t>$C$45</t>
  </si>
  <si>
    <t>Import Istanbul</t>
  </si>
  <si>
    <t>$D$45</t>
  </si>
  <si>
    <t>Import Ankara</t>
  </si>
  <si>
    <t>$C$51</t>
  </si>
  <si>
    <t>Istanbul Istanbul</t>
  </si>
  <si>
    <t>$D$51</t>
  </si>
  <si>
    <t>Istanbul Izmir</t>
  </si>
  <si>
    <t>$E$51</t>
  </si>
  <si>
    <t>Istanbul Antalya</t>
  </si>
  <si>
    <t>$F$51</t>
  </si>
  <si>
    <t>Istanbul Bursa</t>
  </si>
  <si>
    <t>$G$51</t>
  </si>
  <si>
    <t>Istanbul Kayseri</t>
  </si>
  <si>
    <t>$H$51</t>
  </si>
  <si>
    <t>Istanbul Samsun</t>
  </si>
  <si>
    <t>$I$51</t>
  </si>
  <si>
    <t>Istanbul Export (Izmir)</t>
  </si>
  <si>
    <t>$C$52</t>
  </si>
  <si>
    <t>Ankara Istanbul</t>
  </si>
  <si>
    <t>$D$52</t>
  </si>
  <si>
    <t>Ankara Izmir</t>
  </si>
  <si>
    <t>$E$52</t>
  </si>
  <si>
    <t>Ankara Antalya</t>
  </si>
  <si>
    <t>$F$52</t>
  </si>
  <si>
    <t>Ankara Bursa</t>
  </si>
  <si>
    <t>$G$52</t>
  </si>
  <si>
    <t>Ankara Kayseri</t>
  </si>
  <si>
    <t>$H$52</t>
  </si>
  <si>
    <t>Ankara Samsun</t>
  </si>
  <si>
    <t>$I$52</t>
  </si>
  <si>
    <t>Ankara Export (Izmir)</t>
  </si>
  <si>
    <t>Constraints</t>
  </si>
  <si>
    <t>Shadow</t>
  </si>
  <si>
    <t>Constraint</t>
  </si>
  <si>
    <t>Price</t>
  </si>
  <si>
    <t>R.H. Side</t>
  </si>
  <si>
    <t>Inc</t>
  </si>
  <si>
    <t>Dec</t>
  </si>
  <si>
    <t>$C$47</t>
  </si>
  <si>
    <t>Total beer Istanbul</t>
  </si>
  <si>
    <t>$D$47</t>
  </si>
  <si>
    <t>Total beer Ankara</t>
  </si>
  <si>
    <t>$C$53</t>
  </si>
  <si>
    <t>Total Istanbul</t>
  </si>
  <si>
    <t>$D$53</t>
  </si>
  <si>
    <t>Total Izmir</t>
  </si>
  <si>
    <t>$E$53</t>
  </si>
  <si>
    <t>Total Antalya</t>
  </si>
  <si>
    <t>$F$53</t>
  </si>
  <si>
    <t>Total Bursa</t>
  </si>
  <si>
    <t>$G$53</t>
  </si>
  <si>
    <t>Total Kayseri</t>
  </si>
  <si>
    <t>$H$53</t>
  </si>
  <si>
    <t>Total Samsun</t>
  </si>
  <si>
    <t>$I$53</t>
  </si>
  <si>
    <t>Total Export (Izmir)</t>
  </si>
  <si>
    <t>$E$43</t>
  </si>
  <si>
    <t>Afyon Total</t>
  </si>
  <si>
    <t>$E$44</t>
  </si>
  <si>
    <t>Konya Total</t>
  </si>
  <si>
    <t>$E$45</t>
  </si>
  <si>
    <t>Import Total</t>
  </si>
  <si>
    <t>$J$51</t>
  </si>
  <si>
    <t>Istanbul Total</t>
  </si>
  <si>
    <t>$J$52</t>
  </si>
  <si>
    <t>Ankara Total</t>
  </si>
  <si>
    <t>Current year data and shipment plan.</t>
  </si>
  <si>
    <t>CURRENT DEMAND:</t>
  </si>
  <si>
    <t xml:space="preserve">Annual demand at distribution centers </t>
  </si>
  <si>
    <t>(Million litres/year)</t>
  </si>
  <si>
    <t>Dist. Centers</t>
  </si>
  <si>
    <t>Demand</t>
  </si>
  <si>
    <t xml:space="preserve"> </t>
  </si>
  <si>
    <t>Istanbul</t>
  </si>
  <si>
    <t>Izmir</t>
  </si>
  <si>
    <t>Antalya</t>
  </si>
  <si>
    <t>Bursa</t>
  </si>
  <si>
    <t>Kayseri</t>
  </si>
  <si>
    <t>Samsun</t>
  </si>
  <si>
    <t>Export(Izmir)</t>
  </si>
  <si>
    <t>Total</t>
  </si>
  <si>
    <t xml:space="preserve">CAPACITY: </t>
  </si>
  <si>
    <t>TRANSPORTATION COSTS:</t>
  </si>
  <si>
    <t>Annual capacity of malt plants</t>
  </si>
  <si>
    <t>Annual capacity of breweries</t>
  </si>
  <si>
    <t xml:space="preserve">Annual cost of shipping 1 ton of malt from plant i to brewery j </t>
  </si>
  <si>
    <t>(1000 tons/year)</t>
  </si>
  <si>
    <t>(Million $ /1000 ton)*</t>
  </si>
  <si>
    <t>Afyon</t>
  </si>
  <si>
    <t xml:space="preserve">Existing Breweries </t>
  </si>
  <si>
    <t>Current</t>
  </si>
  <si>
    <t>Existing Brewery Sites</t>
  </si>
  <si>
    <t>Konya</t>
  </si>
  <si>
    <t>Malt Plants</t>
  </si>
  <si>
    <t>Ankara</t>
  </si>
  <si>
    <t>Import (Izmir)</t>
  </si>
  <si>
    <t xml:space="preserve">MALT YIELD: </t>
  </si>
  <si>
    <t>* Tons are metric tons in all measurements.</t>
  </si>
  <si>
    <t xml:space="preserve">Annual cost of shipping 1 million liters of beer from brewery j to distribution center k  </t>
  </si>
  <si>
    <t>Million lts beer brewed from</t>
  </si>
  <si>
    <t>(Million $/Million ltr)</t>
  </si>
  <si>
    <t>1000 tons of malt</t>
  </si>
  <si>
    <t>Distribution Centers</t>
  </si>
  <si>
    <t>Domestic</t>
  </si>
  <si>
    <t>Breweries</t>
  </si>
  <si>
    <t>Export (Izmir)</t>
  </si>
  <si>
    <t>Import</t>
  </si>
  <si>
    <t>Current Shipment Plan</t>
  </si>
  <si>
    <t>Amount of malt shipped from plant i to brewery j in year 1 (1000 ton)</t>
  </si>
  <si>
    <t>Capacity</t>
  </si>
  <si>
    <t>Total malt</t>
  </si>
  <si>
    <t>Total beer</t>
  </si>
  <si>
    <t>(Million lt)</t>
  </si>
  <si>
    <t>Amount of beer shipped from brewery j to distribution center k in year 1 (Million liters)</t>
  </si>
  <si>
    <t>Demands</t>
  </si>
  <si>
    <t>Total shipping cost</t>
  </si>
  <si>
    <t>(Million dollars)</t>
  </si>
  <si>
    <t>Long term demand, potential brewery sites, capacities, yearly equivalent investment costs, and unit transporation costs.</t>
  </si>
  <si>
    <t>(Million $ /1000 ton)</t>
  </si>
  <si>
    <t>Destinations</t>
  </si>
  <si>
    <t>Potential Brewery Sites</t>
  </si>
  <si>
    <t>Sakarya</t>
  </si>
  <si>
    <t>Adana</t>
  </si>
  <si>
    <t>IstNew</t>
  </si>
  <si>
    <t>AnkNew</t>
  </si>
  <si>
    <t>Potential Breweries</t>
  </si>
  <si>
    <t>New</t>
  </si>
  <si>
    <t>Expansion</t>
  </si>
  <si>
    <t>Existing</t>
  </si>
  <si>
    <t>Potential</t>
  </si>
  <si>
    <t>DEMAND:</t>
  </si>
  <si>
    <t>Demand         (million ltr)</t>
  </si>
  <si>
    <t>FIXED COSTS:</t>
  </si>
  <si>
    <t>(Million $)</t>
  </si>
  <si>
    <t xml:space="preserve">Yearly Equivalent </t>
  </si>
  <si>
    <t>Open</t>
  </si>
  <si>
    <t xml:space="preserve"> Expand</t>
  </si>
  <si>
    <t>$C$26</t>
  </si>
  <si>
    <t>$D$26</t>
  </si>
  <si>
    <t>$C$43:$D$45,$C$51:$I$52,$K$55</t>
  </si>
  <si>
    <t>Input1</t>
  </si>
  <si>
    <t>Input2</t>
  </si>
  <si>
    <t>QUESTION 4: CAPACITY EXPANSION MODEL (Mixed Integer Programming)</t>
  </si>
  <si>
    <t>1. BINARY DECISION VARIABLES</t>
  </si>
  <si>
    <t>Potential Brewery</t>
  </si>
  <si>
    <t>Open (0/1)</t>
  </si>
  <si>
    <t>Expand (0/1)</t>
  </si>
  <si>
    <t>2. MALT SHIPMENTS (1000 tons) - Decision Variables</t>
  </si>
  <si>
    <t>From Malt Plant</t>
  </si>
  <si>
    <t>Total Shipped</t>
  </si>
  <si>
    <t>3. BEER SHIPMENTS (Million liters) - Decision Variables</t>
  </si>
  <si>
    <t>From Brewery</t>
  </si>
  <si>
    <t>Total Received</t>
  </si>
  <si>
    <t>4. BREWERY CAPACITY CONSTRAINTS</t>
  </si>
  <si>
    <t>Brewery</t>
  </si>
  <si>
    <t>Beer Produced</t>
  </si>
  <si>
    <t>Base Capacity</t>
  </si>
  <si>
    <t>Additional Capacity</t>
  </si>
  <si>
    <t>Total Capacity</t>
  </si>
  <si>
    <t>Malt Needed</t>
  </si>
  <si>
    <t>Malt Available</t>
  </si>
  <si>
    <t>5. LOGICAL CONSTRAINTS (Expand only if Opened)</t>
  </si>
  <si>
    <t>Open (B)</t>
  </si>
  <si>
    <t>Expand (E)</t>
  </si>
  <si>
    <t>Constraint: E &lt;= B</t>
  </si>
  <si>
    <t>6. COST CALCULATIONS</t>
  </si>
  <si>
    <t>Opening Cost</t>
  </si>
  <si>
    <t>Expansion Cost</t>
  </si>
  <si>
    <t>Total Fixed Cost</t>
  </si>
  <si>
    <t>TOTAL FIXED COSTS:</t>
  </si>
  <si>
    <t>MALT TRANSPORTATION COSTS:</t>
  </si>
  <si>
    <t>From \ To</t>
  </si>
  <si>
    <t>Total Cost</t>
  </si>
  <si>
    <t>TOTAL MALT TRANSPORT COST:</t>
  </si>
  <si>
    <t>BEER TRANSPORTATION COSTS:</t>
  </si>
  <si>
    <t>TOTAL BEER TRANSPORT COST:</t>
  </si>
  <si>
    <t>OBJECTIVE FUNCTION: MINIMIZE TOTAL COST</t>
  </si>
  <si>
    <t>Fixed Costs:</t>
  </si>
  <si>
    <t>Malt Transport Costs:</t>
  </si>
  <si>
    <t>Beer Transport Costs:</t>
  </si>
  <si>
    <t>TOTAL COST:</t>
  </si>
  <si>
    <t>SOLVER SETUP INSTRUCTIONS</t>
  </si>
  <si>
    <t>1. Set Objective: The TOTAL COST cell (green cell above)</t>
  </si>
  <si>
    <t>2. To: Min</t>
  </si>
  <si>
    <t>3. By Changing Variable Cells:</t>
  </si>
  <si>
    <t xml:space="preserve">   - Binary variables: B5:C10</t>
  </si>
  <si>
    <t xml:space="preserve">   - Malt shipments: B14:I16</t>
  </si>
  <si>
    <t xml:space="preserve">   - Beer shipments: B20:H27</t>
  </si>
  <si>
    <t>4. Subject to Constraints:</t>
  </si>
  <si>
    <t xml:space="preserve">   - Binary variables = Binary (0 or 1)</t>
  </si>
  <si>
    <t xml:space="preserve">   - Malt capacity: Total Shipped &lt;= Capacity for each malt plant</t>
  </si>
  <si>
    <t xml:space="preserve">   - Beer capacity: Beer Produced &lt;= Total Capacity for each brewery</t>
  </si>
  <si>
    <t xml:space="preserve">   - Malt balance: Malt Needed &lt;= Malt Available for each brewery</t>
  </si>
  <si>
    <t xml:space="preserve">   - Demand: Total Received = Demand for each distribution center</t>
  </si>
  <si>
    <t xml:space="preserve">   - Logical: Expand &lt;= Open for each potential brewery</t>
  </si>
  <si>
    <t xml:space="preserve">   - All shipments &gt;= 0</t>
  </si>
  <si>
    <t>5. Select: Simplex LP as solving method is NOT appropriate - use GRG Nonlinear or Evolutionary</t>
  </si>
  <si>
    <t>6. Click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</si>
</sst>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0.000"/>
    <numFmt numFmtId="165" formatCode="#,##0.000_);\(#,##0.000\)"/>
    <numFmt numFmtId="166" formatCode="0.0000000000000"/>
    <numFmt numFmtId="167" formatCode="\$#,##0.00"/>
  </numFmts>
  <fonts count="25" x14ac:knownFonts="1">
    <font>
      <sz val="10"/>
      <name val="MS Sans Serif"/>
    </font>
    <font>
      <sz val="8"/>
      <name val="MS Sans Serif"/>
    </font>
    <font>
      <b/>
      <i/>
      <sz val="8"/>
      <name val="MS Sans Serif"/>
    </font>
    <font>
      <i/>
      <sz val="8"/>
      <name val="MS Sans Serif"/>
    </font>
    <font>
      <sz val="8"/>
      <name val="MS Sans Serif"/>
      <family val="2"/>
    </font>
    <font>
      <b/>
      <sz val="8"/>
      <name val="MS Sans Serif"/>
      <family val="2"/>
    </font>
    <font>
      <sz val="8.5"/>
      <name val="MS Sans Serif"/>
      <family val="2"/>
    </font>
    <font>
      <i/>
      <sz val="8"/>
      <name val="MS Sans Serif"/>
      <family val="2"/>
    </font>
    <font>
      <b/>
      <sz val="8.5"/>
      <name val="MS Sans Serif"/>
      <family val="2"/>
    </font>
    <font>
      <i/>
      <sz val="8.5"/>
      <name val="MS Sans Serif"/>
      <family val="2"/>
    </font>
    <font>
      <b/>
      <i/>
      <sz val="8.5"/>
      <name val="MS Sans Serif"/>
      <family val="2"/>
    </font>
    <font>
      <b/>
      <i/>
      <sz val="8"/>
      <name val="MS Sans Serif"/>
      <family val="2"/>
    </font>
    <font>
      <sz val="9.5"/>
      <name val="MS Sans Serif"/>
      <family val="2"/>
    </font>
    <font>
      <b/>
      <i/>
      <sz val="9"/>
      <name val="MS Sans Serif"/>
    </font>
    <font>
      <b/>
      <i/>
      <sz val="8.5"/>
      <name val="MS Sans Serif"/>
    </font>
    <font>
      <b/>
      <sz val="10"/>
      <name val="MS Sans Serif"/>
      <family val="2"/>
    </font>
    <font>
      <b/>
      <sz val="10"/>
      <name val="MS Sans Serif"/>
    </font>
    <font>
      <b/>
      <sz val="10"/>
      <color indexed="18"/>
      <name val="MS Sans Serif"/>
    </font>
    <font>
      <b/>
      <sz val="14"/>
      <color rgb="FFFFFFFF"/>
      <name val="MS Sans Serif"/>
    </font>
    <font>
      <b/>
      <sz val="11"/>
      <color rgb="FFFFFFFF"/>
      <name val="MS Sans Serif"/>
    </font>
    <font>
      <b/>
      <sz val="10"/>
      <color rgb="FFFFFFFF"/>
      <name val="MS Sans Serif"/>
    </font>
    <font>
      <b/>
      <sz val="10"/>
      <name val="MS Sans Serif"/>
    </font>
    <font>
      <b/>
      <sz val="11"/>
      <name val="MS Sans Serif"/>
    </font>
    <font>
      <b/>
      <sz val="12"/>
      <name val="MS Sans Serif"/>
    </font>
    <font>
      <b/>
      <sz val="12"/>
      <color rgb="FFFFFFFF"/>
      <name val="MS Sans Serif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</fills>
  <borders count="110">
    <border>
      <left/>
      <right/>
      <top/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/>
      <right style="thick">
        <color indexed="12"/>
      </right>
      <top/>
      <bottom/>
      <diagonal/>
    </border>
    <border>
      <left style="thick">
        <color indexed="12"/>
      </left>
      <right/>
      <top/>
      <bottom/>
      <diagonal/>
    </border>
    <border>
      <left style="thick">
        <color indexed="12"/>
      </left>
      <right/>
      <top style="thick">
        <color indexed="12"/>
      </top>
      <bottom/>
      <diagonal/>
    </border>
    <border>
      <left style="double">
        <color indexed="10"/>
      </left>
      <right/>
      <top style="double">
        <color indexed="10"/>
      </top>
      <bottom/>
      <diagonal/>
    </border>
    <border>
      <left/>
      <right/>
      <top style="double">
        <color indexed="10"/>
      </top>
      <bottom/>
      <diagonal/>
    </border>
    <border>
      <left/>
      <right style="double">
        <color indexed="10"/>
      </right>
      <top style="double">
        <color indexed="10"/>
      </top>
      <bottom/>
      <diagonal/>
    </border>
    <border>
      <left style="double">
        <color indexed="10"/>
      </left>
      <right/>
      <top/>
      <bottom/>
      <diagonal/>
    </border>
    <border>
      <left style="double">
        <color indexed="10"/>
      </left>
      <right/>
      <top/>
      <bottom style="double">
        <color indexed="10"/>
      </bottom>
      <diagonal/>
    </border>
    <border>
      <left/>
      <right/>
      <top/>
      <bottom style="double">
        <color indexed="10"/>
      </bottom>
      <diagonal/>
    </border>
    <border>
      <left/>
      <right style="double">
        <color indexed="10"/>
      </right>
      <top/>
      <bottom/>
      <diagonal/>
    </border>
    <border>
      <left style="thick">
        <color indexed="12"/>
      </left>
      <right style="medium">
        <color indexed="1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10"/>
      </bottom>
      <diagonal/>
    </border>
    <border>
      <left/>
      <right/>
      <top style="thin">
        <color indexed="64"/>
      </top>
      <bottom style="double">
        <color indexed="10"/>
      </bottom>
      <diagonal/>
    </border>
    <border>
      <left/>
      <right style="double">
        <color indexed="10"/>
      </right>
      <top/>
      <bottom style="double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1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1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10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1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0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double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10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10"/>
      </bottom>
      <diagonal/>
    </border>
    <border>
      <left style="thin">
        <color indexed="64"/>
      </left>
      <right style="double">
        <color indexed="10"/>
      </right>
      <top/>
      <bottom style="double">
        <color indexed="10"/>
      </bottom>
      <diagonal/>
    </border>
    <border>
      <left style="thick">
        <color indexed="12"/>
      </left>
      <right/>
      <top/>
      <bottom style="thick">
        <color indexed="12"/>
      </bottom>
      <diagonal/>
    </border>
    <border>
      <left/>
      <right/>
      <top/>
      <bottom style="thick">
        <color indexed="12"/>
      </bottom>
      <diagonal/>
    </border>
    <border>
      <left style="double">
        <color indexed="10"/>
      </left>
      <right style="medium">
        <color indexed="64"/>
      </right>
      <top/>
      <bottom/>
      <diagonal/>
    </border>
    <border>
      <left/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ck">
        <color indexed="21"/>
      </left>
      <right style="thick">
        <color indexed="21"/>
      </right>
      <top style="thick">
        <color indexed="21"/>
      </top>
      <bottom style="thick">
        <color indexed="12"/>
      </bottom>
      <diagonal/>
    </border>
    <border>
      <left/>
      <right style="thick">
        <color indexed="21"/>
      </right>
      <top/>
      <bottom style="thick">
        <color indexed="12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 style="medium">
        <color indexed="10"/>
      </left>
      <right/>
      <top/>
      <bottom style="medium">
        <color indexed="10"/>
      </bottom>
      <diagonal/>
    </border>
    <border>
      <left style="medium">
        <color indexed="12"/>
      </left>
      <right/>
      <top style="medium">
        <color indexed="17"/>
      </top>
      <bottom style="medium">
        <color indexed="12"/>
      </bottom>
      <diagonal/>
    </border>
    <border>
      <left/>
      <right style="thick">
        <color indexed="12"/>
      </right>
      <top/>
      <bottom style="medium">
        <color indexed="10"/>
      </bottom>
      <diagonal/>
    </border>
    <border>
      <left/>
      <right style="medium">
        <color indexed="17"/>
      </right>
      <top/>
      <bottom/>
      <diagonal/>
    </border>
    <border>
      <left style="medium">
        <color indexed="17"/>
      </left>
      <right/>
      <top/>
      <bottom/>
      <diagonal/>
    </border>
    <border>
      <left/>
      <right style="thick">
        <color indexed="12"/>
      </right>
      <top style="medium">
        <color indexed="10"/>
      </top>
      <bottom/>
      <diagonal/>
    </border>
    <border>
      <left style="medium">
        <color indexed="17"/>
      </left>
      <right style="medium">
        <color indexed="12"/>
      </right>
      <top style="medium">
        <color indexed="12"/>
      </top>
      <bottom/>
      <diagonal/>
    </border>
    <border>
      <left/>
      <right style="medium">
        <color indexed="17"/>
      </right>
      <top style="medium">
        <color indexed="17"/>
      </top>
      <bottom/>
      <diagonal/>
    </border>
    <border>
      <left/>
      <right/>
      <top style="medium">
        <color indexed="17"/>
      </top>
      <bottom/>
      <diagonal/>
    </border>
    <border>
      <left style="medium">
        <color indexed="17"/>
      </left>
      <right/>
      <top style="medium">
        <color indexed="17"/>
      </top>
      <bottom/>
      <diagonal/>
    </border>
    <border>
      <left style="medium">
        <color indexed="53"/>
      </left>
      <right/>
      <top style="medium">
        <color indexed="39"/>
      </top>
      <bottom style="medium">
        <color indexed="53"/>
      </bottom>
      <diagonal/>
    </border>
    <border>
      <left/>
      <right style="medium">
        <color indexed="12"/>
      </right>
      <top style="medium">
        <color indexed="17"/>
      </top>
      <bottom style="medium">
        <color indexed="39"/>
      </bottom>
      <diagonal/>
    </border>
    <border>
      <left style="medium">
        <color indexed="39"/>
      </left>
      <right/>
      <top style="medium">
        <color indexed="17"/>
      </top>
      <bottom style="medium">
        <color indexed="39"/>
      </bottom>
      <diagonal/>
    </border>
    <border>
      <left style="medium">
        <color indexed="39"/>
      </left>
      <right style="medium">
        <color indexed="10"/>
      </right>
      <top/>
      <bottom style="medium">
        <color indexed="10"/>
      </bottom>
      <diagonal/>
    </border>
    <border>
      <left/>
      <right/>
      <top/>
      <bottom style="medium">
        <color indexed="17"/>
      </bottom>
      <diagonal/>
    </border>
    <border>
      <left style="medium">
        <color indexed="17"/>
      </left>
      <right/>
      <top/>
      <bottom style="medium">
        <color indexed="17"/>
      </bottom>
      <diagonal/>
    </border>
    <border>
      <left style="medium">
        <color indexed="39"/>
      </left>
      <right style="medium">
        <color indexed="10"/>
      </right>
      <top/>
      <bottom/>
      <diagonal/>
    </border>
    <border>
      <left style="medium">
        <color indexed="39"/>
      </left>
      <right style="medium">
        <color indexed="10"/>
      </right>
      <top style="medium">
        <color indexed="10"/>
      </top>
      <bottom/>
      <diagonal/>
    </border>
    <border>
      <left style="medium">
        <color indexed="17"/>
      </left>
      <right style="medium">
        <color indexed="39"/>
      </right>
      <top style="medium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10"/>
      </left>
      <right style="medium">
        <color indexed="64"/>
      </right>
      <top/>
      <bottom style="double">
        <color indexed="10"/>
      </bottom>
      <diagonal/>
    </border>
    <border>
      <left style="medium">
        <color indexed="64"/>
      </left>
      <right/>
      <top style="thin">
        <color indexed="64"/>
      </top>
      <bottom style="double">
        <color indexed="10"/>
      </bottom>
      <diagonal/>
    </border>
    <border>
      <left style="thin">
        <color indexed="64"/>
      </left>
      <right/>
      <top style="thin">
        <color indexed="64"/>
      </top>
      <bottom style="double">
        <color indexed="1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FF0000"/>
      </left>
      <right/>
      <top style="medium">
        <color indexed="64"/>
      </top>
      <bottom style="double">
        <color rgb="FFFF0000"/>
      </bottom>
      <diagonal/>
    </border>
    <border>
      <left style="medium">
        <color indexed="64"/>
      </left>
      <right style="double">
        <color rgb="FFFF0000"/>
      </right>
      <top/>
      <bottom/>
      <diagonal/>
    </border>
    <border>
      <left style="medium">
        <color indexed="64"/>
      </left>
      <right style="double">
        <color rgb="FFFF0000"/>
      </right>
      <top style="medium">
        <color indexed="64"/>
      </top>
      <bottom style="double">
        <color rgb="FFFF0000"/>
      </bottom>
      <diagonal/>
    </border>
    <border>
      <left style="thin">
        <color theme="1"/>
      </left>
      <right style="double">
        <color indexed="10"/>
      </right>
      <top/>
      <bottom style="double">
        <color indexed="10"/>
      </bottom>
      <diagonal/>
    </border>
    <border>
      <left style="medium">
        <color indexed="64"/>
      </left>
      <right style="double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FF0000"/>
      </right>
      <top/>
      <bottom style="thin">
        <color indexed="64"/>
      </bottom>
      <diagonal/>
    </border>
    <border>
      <left style="medium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10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FF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10"/>
      </right>
      <top/>
      <bottom style="medium">
        <color indexed="64"/>
      </bottom>
      <diagonal/>
    </border>
    <border>
      <left/>
      <right style="double">
        <color rgb="FFFF0000"/>
      </right>
      <top style="thin">
        <color indexed="64"/>
      </top>
      <bottom style="double">
        <color indexed="10"/>
      </bottom>
      <diagonal/>
    </border>
    <border>
      <left style="medium">
        <color rgb="FFFF0000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double">
        <color indexed="10"/>
      </right>
      <top style="thin">
        <color indexed="64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indexed="64"/>
      </left>
      <right style="double">
        <color rgb="FFFF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double">
        <color rgb="FFFF0000"/>
      </right>
      <top style="double">
        <color rgb="FFFF0000"/>
      </top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quotePrefix="1" applyFont="1" applyAlignment="1">
      <alignment horizontal="center"/>
    </xf>
    <xf numFmtId="0" fontId="1" fillId="0" borderId="4" xfId="0" applyFont="1" applyBorder="1"/>
    <xf numFmtId="0" fontId="1" fillId="0" borderId="0" xfId="0" applyFont="1"/>
    <xf numFmtId="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/>
    <xf numFmtId="7" fontId="0" fillId="0" borderId="0" xfId="0" applyNumberFormat="1"/>
    <xf numFmtId="0" fontId="2" fillId="0" borderId="6" xfId="0" applyFont="1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3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0" xfId="0" applyBorder="1"/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8" xfId="0" applyBorder="1"/>
    <xf numFmtId="0" fontId="0" fillId="0" borderId="12" xfId="0" applyBorder="1"/>
    <xf numFmtId="0" fontId="7" fillId="0" borderId="9" xfId="0" applyFont="1" applyBorder="1" applyAlignment="1">
      <alignment horizontal="left"/>
    </xf>
    <xf numFmtId="0" fontId="9" fillId="0" borderId="0" xfId="0" applyFont="1"/>
    <xf numFmtId="0" fontId="9" fillId="0" borderId="12" xfId="0" applyFont="1" applyBorder="1"/>
    <xf numFmtId="0" fontId="0" fillId="0" borderId="11" xfId="0" applyBorder="1"/>
    <xf numFmtId="0" fontId="2" fillId="0" borderId="1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0" fillId="0" borderId="9" xfId="0" applyFont="1" applyBorder="1"/>
    <xf numFmtId="0" fontId="4" fillId="0" borderId="3" xfId="0" applyFont="1" applyBorder="1" applyAlignment="1">
      <alignment horizontal="center"/>
    </xf>
    <xf numFmtId="0" fontId="1" fillId="0" borderId="13" xfId="0" applyFont="1" applyBorder="1"/>
    <xf numFmtId="0" fontId="2" fillId="0" borderId="4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  <xf numFmtId="0" fontId="5" fillId="0" borderId="0" xfId="0" applyFont="1"/>
    <xf numFmtId="0" fontId="11" fillId="0" borderId="9" xfId="0" applyFont="1" applyBorder="1"/>
    <xf numFmtId="0" fontId="0" fillId="0" borderId="6" xfId="0" applyBorder="1"/>
    <xf numFmtId="0" fontId="11" fillId="0" borderId="7" xfId="0" applyFont="1" applyBorder="1"/>
    <xf numFmtId="0" fontId="0" fillId="0" borderId="80" xfId="0" applyBorder="1"/>
    <xf numFmtId="0" fontId="1" fillId="0" borderId="14" xfId="0" applyFont="1" applyBorder="1"/>
    <xf numFmtId="0" fontId="1" fillId="0" borderId="15" xfId="0" applyFont="1" applyBorder="1"/>
    <xf numFmtId="0" fontId="6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0" fontId="3" fillId="0" borderId="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81" xfId="0" applyBorder="1"/>
    <xf numFmtId="0" fontId="7" fillId="0" borderId="80" xfId="0" applyFont="1" applyBorder="1" applyAlignment="1">
      <alignment horizontal="left"/>
    </xf>
    <xf numFmtId="0" fontId="4" fillId="0" borderId="80" xfId="0" applyFont="1" applyBorder="1"/>
    <xf numFmtId="0" fontId="5" fillId="0" borderId="82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3" borderId="24" xfId="0" applyNumberFormat="1" applyFill="1" applyBorder="1" applyAlignment="1">
      <alignment horizontal="center"/>
    </xf>
    <xf numFmtId="164" fontId="0" fillId="3" borderId="25" xfId="0" applyNumberFormat="1" applyFill="1" applyBorder="1" applyAlignment="1">
      <alignment horizontal="center"/>
    </xf>
    <xf numFmtId="164" fontId="0" fillId="3" borderId="26" xfId="0" applyNumberFormat="1" applyFill="1" applyBorder="1"/>
    <xf numFmtId="164" fontId="0" fillId="3" borderId="27" xfId="0" applyNumberFormat="1" applyFill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29" xfId="0" applyNumberFormat="1" applyFill="1" applyBorder="1"/>
    <xf numFmtId="164" fontId="0" fillId="3" borderId="30" xfId="0" applyNumberFormat="1" applyFill="1" applyBorder="1" applyAlignment="1">
      <alignment horizontal="center"/>
    </xf>
    <xf numFmtId="165" fontId="0" fillId="3" borderId="31" xfId="0" applyNumberFormat="1" applyFill="1" applyBorder="1" applyAlignment="1">
      <alignment horizontal="center"/>
    </xf>
    <xf numFmtId="165" fontId="0" fillId="3" borderId="32" xfId="0" applyNumberFormat="1" applyFill="1" applyBorder="1" applyAlignment="1">
      <alignment horizontal="center"/>
    </xf>
    <xf numFmtId="165" fontId="0" fillId="3" borderId="33" xfId="0" applyNumberFormat="1" applyFill="1" applyBorder="1" applyAlignment="1">
      <alignment horizontal="center"/>
    </xf>
    <xf numFmtId="165" fontId="0" fillId="3" borderId="34" xfId="0" applyNumberFormat="1" applyFill="1" applyBorder="1" applyAlignment="1">
      <alignment horizontal="center"/>
    </xf>
    <xf numFmtId="165" fontId="0" fillId="3" borderId="35" xfId="0" applyNumberFormat="1" applyFill="1" applyBorder="1" applyAlignment="1">
      <alignment horizontal="center"/>
    </xf>
    <xf numFmtId="165" fontId="0" fillId="3" borderId="36" xfId="0" applyNumberFormat="1" applyFill="1" applyBorder="1" applyAlignment="1">
      <alignment horizontal="center"/>
    </xf>
    <xf numFmtId="165" fontId="0" fillId="3" borderId="37" xfId="0" applyNumberFormat="1" applyFill="1" applyBorder="1" applyAlignment="1">
      <alignment horizontal="center"/>
    </xf>
    <xf numFmtId="165" fontId="0" fillId="3" borderId="27" xfId="0" applyNumberFormat="1" applyFill="1" applyBorder="1" applyAlignment="1">
      <alignment horizontal="center"/>
    </xf>
    <xf numFmtId="165" fontId="0" fillId="3" borderId="38" xfId="0" applyNumberFormat="1" applyFill="1" applyBorder="1" applyAlignment="1">
      <alignment horizontal="center"/>
    </xf>
    <xf numFmtId="165" fontId="0" fillId="3" borderId="39" xfId="0" applyNumberFormat="1" applyFill="1" applyBorder="1" applyAlignment="1">
      <alignment horizontal="center"/>
    </xf>
    <xf numFmtId="165" fontId="0" fillId="3" borderId="28" xfId="0" applyNumberFormat="1" applyFill="1" applyBorder="1" applyAlignment="1">
      <alignment horizontal="center"/>
    </xf>
    <xf numFmtId="165" fontId="0" fillId="3" borderId="29" xfId="0" applyNumberFormat="1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83" xfId="0" applyFill="1" applyBorder="1" applyAlignment="1">
      <alignment horizontal="center"/>
    </xf>
    <xf numFmtId="0" fontId="0" fillId="3" borderId="8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3" fontId="0" fillId="3" borderId="85" xfId="0" applyNumberFormat="1" applyFill="1" applyBorder="1" applyAlignment="1">
      <alignment horizontal="center"/>
    </xf>
    <xf numFmtId="164" fontId="0" fillId="3" borderId="85" xfId="0" applyNumberFormat="1" applyFill="1" applyBorder="1"/>
    <xf numFmtId="0" fontId="0" fillId="3" borderId="86" xfId="0" applyFill="1" applyBorder="1" applyAlignment="1">
      <alignment horizontal="center"/>
    </xf>
    <xf numFmtId="0" fontId="0" fillId="3" borderId="87" xfId="0" applyFill="1" applyBorder="1" applyAlignment="1">
      <alignment horizontal="center"/>
    </xf>
    <xf numFmtId="0" fontId="0" fillId="3" borderId="88" xfId="0" applyFill="1" applyBorder="1" applyAlignment="1">
      <alignment horizontal="center"/>
    </xf>
    <xf numFmtId="3" fontId="0" fillId="3" borderId="89" xfId="0" applyNumberFormat="1" applyFill="1" applyBorder="1" applyAlignment="1">
      <alignment horizontal="center"/>
    </xf>
    <xf numFmtId="3" fontId="0" fillId="3" borderId="90" xfId="0" applyNumberFormat="1" applyFill="1" applyBorder="1" applyAlignment="1">
      <alignment horizontal="center"/>
    </xf>
    <xf numFmtId="164" fontId="0" fillId="3" borderId="89" xfId="0" applyNumberFormat="1" applyFill="1" applyBorder="1"/>
    <xf numFmtId="0" fontId="0" fillId="0" borderId="48" xfId="0" applyBorder="1"/>
    <xf numFmtId="0" fontId="0" fillId="0" borderId="49" xfId="0" applyBorder="1"/>
    <xf numFmtId="0" fontId="13" fillId="0" borderId="7" xfId="0" applyFont="1" applyBorder="1"/>
    <xf numFmtId="0" fontId="14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1" fillId="0" borderId="49" xfId="0" applyFont="1" applyBorder="1"/>
    <xf numFmtId="0" fontId="0" fillId="2" borderId="53" xfId="0" applyFill="1" applyBorder="1"/>
    <xf numFmtId="0" fontId="2" fillId="2" borderId="49" xfId="0" applyFont="1" applyFill="1" applyBorder="1"/>
    <xf numFmtId="1" fontId="0" fillId="0" borderId="0" xfId="0" applyNumberFormat="1"/>
    <xf numFmtId="3" fontId="11" fillId="0" borderId="0" xfId="0" applyNumberFormat="1" applyFont="1" applyAlignment="1">
      <alignment horizontal="left"/>
    </xf>
    <xf numFmtId="0" fontId="4" fillId="0" borderId="55" xfId="0" applyFont="1" applyBorder="1" applyAlignment="1">
      <alignment horizontal="center"/>
    </xf>
    <xf numFmtId="0" fontId="15" fillId="0" borderId="0" xfId="0" applyFont="1"/>
    <xf numFmtId="0" fontId="0" fillId="0" borderId="19" xfId="0" applyBorder="1" applyAlignment="1">
      <alignment horizontal="center"/>
    </xf>
    <xf numFmtId="0" fontId="5" fillId="0" borderId="10" xfId="0" applyFont="1" applyBorder="1"/>
    <xf numFmtId="0" fontId="0" fillId="0" borderId="12" xfId="0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0" fillId="3" borderId="75" xfId="0" applyNumberFormat="1" applyFill="1" applyBorder="1" applyAlignment="1">
      <alignment horizontal="center"/>
    </xf>
    <xf numFmtId="164" fontId="0" fillId="3" borderId="76" xfId="0" applyNumberFormat="1" applyFill="1" applyBorder="1" applyAlignment="1">
      <alignment horizontal="center"/>
    </xf>
    <xf numFmtId="165" fontId="0" fillId="3" borderId="78" xfId="0" applyNumberFormat="1" applyFill="1" applyBorder="1" applyAlignment="1">
      <alignment horizontal="center"/>
    </xf>
    <xf numFmtId="165" fontId="0" fillId="3" borderId="79" xfId="0" applyNumberFormat="1" applyFill="1" applyBorder="1" applyAlignment="1">
      <alignment horizontal="center"/>
    </xf>
    <xf numFmtId="165" fontId="0" fillId="3" borderId="41" xfId="0" applyNumberForma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/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11" fillId="0" borderId="93" xfId="0" applyFont="1" applyBorder="1" applyAlignment="1">
      <alignment horizontal="center"/>
    </xf>
    <xf numFmtId="0" fontId="0" fillId="0" borderId="18" xfId="0" applyBorder="1"/>
    <xf numFmtId="0" fontId="0" fillId="0" borderId="94" xfId="0" applyBorder="1"/>
    <xf numFmtId="0" fontId="11" fillId="0" borderId="0" xfId="0" applyFont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" fillId="0" borderId="96" xfId="0" applyFont="1" applyBorder="1"/>
    <xf numFmtId="164" fontId="0" fillId="3" borderId="97" xfId="0" applyNumberFormat="1" applyFill="1" applyBorder="1" applyAlignment="1">
      <alignment horizontal="center"/>
    </xf>
    <xf numFmtId="164" fontId="0" fillId="3" borderId="98" xfId="0" applyNumberFormat="1" applyFill="1" applyBorder="1" applyAlignment="1">
      <alignment horizontal="center"/>
    </xf>
    <xf numFmtId="164" fontId="0" fillId="3" borderId="99" xfId="0" applyNumberFormat="1" applyFill="1" applyBorder="1" applyAlignment="1">
      <alignment horizontal="center"/>
    </xf>
    <xf numFmtId="164" fontId="0" fillId="0" borderId="10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7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164" fontId="0" fillId="0" borderId="0" xfId="0" applyNumberFormat="1"/>
    <xf numFmtId="165" fontId="0" fillId="3" borderId="30" xfId="0" applyNumberFormat="1" applyFill="1" applyBorder="1" applyAlignment="1">
      <alignment horizontal="center"/>
    </xf>
    <xf numFmtId="164" fontId="0" fillId="3" borderId="101" xfId="0" applyNumberFormat="1" applyFill="1" applyBorder="1" applyAlignment="1">
      <alignment horizontal="center"/>
    </xf>
    <xf numFmtId="0" fontId="0" fillId="0" borderId="102" xfId="0" applyBorder="1" applyAlignment="1">
      <alignment horizontal="center"/>
    </xf>
    <xf numFmtId="0" fontId="3" fillId="0" borderId="103" xfId="0" applyFont="1" applyBorder="1" applyAlignment="1">
      <alignment horizontal="center"/>
    </xf>
    <xf numFmtId="0" fontId="0" fillId="3" borderId="104" xfId="0" applyFill="1" applyBorder="1" applyAlignment="1">
      <alignment horizontal="center"/>
    </xf>
    <xf numFmtId="0" fontId="0" fillId="5" borderId="65" xfId="0" applyFill="1" applyBorder="1" applyAlignment="1">
      <alignment horizontal="center"/>
    </xf>
    <xf numFmtId="0" fontId="0" fillId="5" borderId="64" xfId="0" applyFill="1" applyBorder="1" applyAlignment="1">
      <alignment horizontal="center"/>
    </xf>
    <xf numFmtId="2" fontId="0" fillId="4" borderId="74" xfId="0" applyNumberFormat="1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1" xfId="0" applyFill="1" applyBorder="1" applyAlignment="1">
      <alignment horizontal="center"/>
    </xf>
    <xf numFmtId="0" fontId="0" fillId="5" borderId="70" xfId="0" applyFill="1" applyBorder="1" applyAlignment="1">
      <alignment horizontal="center"/>
    </xf>
    <xf numFmtId="0" fontId="0" fillId="5" borderId="63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5" borderId="59" xfId="0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12" fillId="4" borderId="57" xfId="0" applyFont="1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0" fontId="0" fillId="4" borderId="66" xfId="0" applyFill="1" applyBorder="1" applyAlignment="1">
      <alignment horizontal="center"/>
    </xf>
    <xf numFmtId="2" fontId="0" fillId="3" borderId="73" xfId="0" applyNumberFormat="1" applyFill="1" applyBorder="1" applyAlignment="1">
      <alignment horizontal="center"/>
    </xf>
    <xf numFmtId="2" fontId="0" fillId="3" borderId="72" xfId="0" applyNumberFormat="1" applyFill="1" applyBorder="1" applyAlignment="1">
      <alignment horizontal="center"/>
    </xf>
    <xf numFmtId="2" fontId="0" fillId="3" borderId="69" xfId="0" applyNumberFormat="1" applyFill="1" applyBorder="1" applyAlignment="1">
      <alignment horizontal="center"/>
    </xf>
    <xf numFmtId="166" fontId="0" fillId="6" borderId="52" xfId="0" applyNumberFormat="1" applyFill="1" applyBorder="1"/>
    <xf numFmtId="1" fontId="0" fillId="4" borderId="66" xfId="0" applyNumberFormat="1" applyFill="1" applyBorder="1" applyAlignment="1">
      <alignment horizontal="center"/>
    </xf>
    <xf numFmtId="49" fontId="0" fillId="0" borderId="0" xfId="0" applyNumberFormat="1"/>
    <xf numFmtId="0" fontId="16" fillId="0" borderId="0" xfId="0" applyFont="1"/>
    <xf numFmtId="0" fontId="0" fillId="0" borderId="107" xfId="0" applyBorder="1"/>
    <xf numFmtId="0" fontId="0" fillId="0" borderId="108" xfId="0" applyBorder="1"/>
    <xf numFmtId="0" fontId="17" fillId="0" borderId="105" xfId="0" applyFont="1" applyBorder="1" applyAlignment="1">
      <alignment horizontal="center"/>
    </xf>
    <xf numFmtId="0" fontId="17" fillId="0" borderId="10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0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right"/>
    </xf>
    <xf numFmtId="2" fontId="0" fillId="0" borderId="0" xfId="0" applyNumberFormat="1"/>
    <xf numFmtId="0" fontId="0" fillId="11" borderId="0" xfId="0" applyFill="1" applyAlignment="1">
      <alignment horizontal="right"/>
    </xf>
    <xf numFmtId="0" fontId="21" fillId="0" borderId="0" xfId="0" applyFont="1"/>
    <xf numFmtId="2" fontId="21" fillId="0" borderId="0" xfId="0" applyNumberFormat="1" applyFont="1"/>
    <xf numFmtId="0" fontId="21" fillId="11" borderId="0" xfId="0" applyFont="1" applyFill="1" applyAlignment="1">
      <alignment horizontal="right"/>
    </xf>
    <xf numFmtId="2" fontId="0" fillId="11" borderId="0" xfId="0" applyNumberFormat="1" applyFill="1" applyAlignment="1">
      <alignment horizontal="right"/>
    </xf>
    <xf numFmtId="0" fontId="0" fillId="11" borderId="0" xfId="0" applyFill="1"/>
    <xf numFmtId="0" fontId="22" fillId="0" borderId="0" xfId="0" applyFont="1"/>
    <xf numFmtId="167" fontId="0" fillId="0" borderId="0" xfId="0" applyNumberFormat="1"/>
    <xf numFmtId="167" fontId="21" fillId="12" borderId="0" xfId="0" applyNumberFormat="1" applyFont="1" applyFill="1"/>
    <xf numFmtId="0" fontId="23" fillId="0" borderId="0" xfId="0" applyFont="1"/>
    <xf numFmtId="167" fontId="23" fillId="13" borderId="0" xfId="0" applyNumberFormat="1" applyFont="1" applyFill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/>
    <xf numFmtId="0" fontId="11" fillId="0" borderId="0" xfId="0" applyFont="1" applyAlignment="1">
      <alignment horizontal="center"/>
    </xf>
    <xf numFmtId="0" fontId="11" fillId="0" borderId="77" xfId="0" applyFont="1" applyBorder="1" applyAlignment="1">
      <alignment horizontal="center" vertical="center"/>
    </xf>
    <xf numFmtId="0" fontId="0" fillId="0" borderId="77" xfId="0" applyBorder="1"/>
    <xf numFmtId="3" fontId="11" fillId="0" borderId="51" xfId="0" applyNumberFormat="1" applyFont="1" applyBorder="1" applyAlignment="1">
      <alignment horizontal="right"/>
    </xf>
    <xf numFmtId="0" fontId="0" fillId="0" borderId="51" xfId="0" applyBorder="1"/>
    <xf numFmtId="0" fontId="11" fillId="0" borderId="92" xfId="0" applyFont="1" applyBorder="1" applyAlignment="1">
      <alignment horizontal="center"/>
    </xf>
    <xf numFmtId="0" fontId="0" fillId="0" borderId="92" xfId="0" applyBorder="1"/>
    <xf numFmtId="0" fontId="11" fillId="0" borderId="50" xfId="0" applyFont="1" applyBorder="1" applyAlignment="1">
      <alignment horizontal="center" vertical="center"/>
    </xf>
    <xf numFmtId="0" fontId="0" fillId="0" borderId="50" xfId="0" applyBorder="1"/>
    <xf numFmtId="0" fontId="11" fillId="0" borderId="9" xfId="0" applyFont="1" applyBorder="1" applyAlignment="1">
      <alignment horizontal="center" vertical="center"/>
    </xf>
    <xf numFmtId="0" fontId="0" fillId="0" borderId="9" xfId="0" applyBorder="1"/>
    <xf numFmtId="0" fontId="14" fillId="0" borderId="109" xfId="0" applyFont="1" applyBorder="1" applyAlignment="1">
      <alignment horizontal="center" vertical="center" wrapText="1"/>
    </xf>
    <xf numFmtId="0" fontId="0" fillId="0" borderId="83" xfId="0" applyBorder="1"/>
    <xf numFmtId="0" fontId="0" fillId="0" borderId="91" xfId="0" applyBorder="1"/>
    <xf numFmtId="0" fontId="19" fillId="8" borderId="0" xfId="0" applyFont="1" applyFill="1" applyAlignment="1">
      <alignment horizontal="left" vertical="center"/>
    </xf>
    <xf numFmtId="0" fontId="24" fillId="14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showGridLines="0" topLeftCell="A24" workbookViewId="0">
      <selection activeCell="J33" sqref="J33"/>
    </sheetView>
  </sheetViews>
  <sheetFormatPr defaultRowHeight="12.75" x14ac:dyDescent="0.2"/>
  <cols>
    <col min="1" max="1" width="2.28515625" customWidth="1"/>
    <col min="2" max="2" width="6.42578125" bestFit="1" customWidth="1"/>
    <col min="3" max="3" width="19.140625" bestFit="1" customWidth="1"/>
    <col min="4" max="4" width="7" bestFit="1" customWidth="1"/>
    <col min="5" max="5" width="12.85546875" bestFit="1" customWidth="1"/>
    <col min="6" max="6" width="12" bestFit="1" customWidth="1"/>
    <col min="7" max="8" width="12.28515625" bestFit="1" customWidth="1"/>
  </cols>
  <sheetData>
    <row r="1" spans="1:8" x14ac:dyDescent="0.2">
      <c r="A1" s="182" t="s">
        <v>0</v>
      </c>
    </row>
    <row r="2" spans="1:8" x14ac:dyDescent="0.2">
      <c r="A2" s="182" t="s">
        <v>1</v>
      </c>
    </row>
    <row r="3" spans="1:8" x14ac:dyDescent="0.2">
      <c r="A3" s="182" t="s">
        <v>2</v>
      </c>
    </row>
    <row r="6" spans="1:8" ht="13.5" customHeight="1" thickBot="1" x14ac:dyDescent="0.25">
      <c r="A6" t="s">
        <v>3</v>
      </c>
    </row>
    <row r="7" spans="1:8" x14ac:dyDescent="0.2">
      <c r="B7" s="185"/>
      <c r="C7" s="185"/>
      <c r="D7" s="185" t="s">
        <v>4</v>
      </c>
      <c r="E7" s="185" t="s">
        <v>5</v>
      </c>
      <c r="F7" s="185" t="s">
        <v>6</v>
      </c>
      <c r="G7" s="185" t="s">
        <v>7</v>
      </c>
      <c r="H7" s="185" t="s">
        <v>7</v>
      </c>
    </row>
    <row r="8" spans="1:8" ht="13.5" customHeight="1" thickBot="1" x14ac:dyDescent="0.25">
      <c r="B8" s="186" t="s">
        <v>8</v>
      </c>
      <c r="C8" s="186" t="s">
        <v>9</v>
      </c>
      <c r="D8" s="186" t="s">
        <v>10</v>
      </c>
      <c r="E8" s="186" t="s">
        <v>11</v>
      </c>
      <c r="F8" s="186" t="s">
        <v>12</v>
      </c>
      <c r="G8" s="186" t="s">
        <v>13</v>
      </c>
      <c r="H8" s="186" t="s">
        <v>14</v>
      </c>
    </row>
    <row r="9" spans="1:8" x14ac:dyDescent="0.2">
      <c r="B9" s="183" t="s">
        <v>15</v>
      </c>
      <c r="C9" s="183" t="s">
        <v>16</v>
      </c>
      <c r="D9" s="183">
        <v>29.039999999999988</v>
      </c>
      <c r="E9" s="183">
        <v>0</v>
      </c>
      <c r="F9" s="183">
        <v>2.64374E-2</v>
      </c>
      <c r="G9" s="183">
        <v>2.6437989927889068E-3</v>
      </c>
      <c r="H9" s="183">
        <v>8.2242857142874053E-4</v>
      </c>
    </row>
    <row r="10" spans="1:8" x14ac:dyDescent="0.2">
      <c r="B10" s="183" t="s">
        <v>17</v>
      </c>
      <c r="C10" s="183" t="s">
        <v>18</v>
      </c>
      <c r="D10" s="183">
        <v>0.96000000000000441</v>
      </c>
      <c r="E10" s="183">
        <v>0</v>
      </c>
      <c r="F10" s="183">
        <v>1.6686400000000001E-2</v>
      </c>
      <c r="G10" s="183">
        <v>4.8999999999965738E-5</v>
      </c>
      <c r="H10" s="183">
        <v>2.6437989927889068E-3</v>
      </c>
    </row>
    <row r="11" spans="1:8" x14ac:dyDescent="0.2">
      <c r="B11" s="183" t="s">
        <v>19</v>
      </c>
      <c r="C11" s="183" t="s">
        <v>20</v>
      </c>
      <c r="D11" s="183">
        <v>0</v>
      </c>
      <c r="E11" s="183">
        <v>1.0339000000000041E-2</v>
      </c>
      <c r="F11" s="183">
        <v>3.6825400000000001E-2</v>
      </c>
      <c r="G11" s="183">
        <v>1E+30</v>
      </c>
      <c r="H11" s="183">
        <v>1.0339000000000041E-2</v>
      </c>
    </row>
    <row r="12" spans="1:8" x14ac:dyDescent="0.2">
      <c r="B12" s="183" t="s">
        <v>21</v>
      </c>
      <c r="C12" s="183" t="s">
        <v>22</v>
      </c>
      <c r="D12" s="183">
        <v>25.439999999999991</v>
      </c>
      <c r="E12" s="183">
        <v>0</v>
      </c>
      <c r="F12" s="183">
        <v>1.6735400000000001E-2</v>
      </c>
      <c r="G12" s="183">
        <v>2.6437989927889068E-3</v>
      </c>
      <c r="H12" s="183">
        <v>4.8999999999965738E-5</v>
      </c>
    </row>
    <row r="13" spans="1:8" x14ac:dyDescent="0.2">
      <c r="B13" s="183" t="s">
        <v>23</v>
      </c>
      <c r="C13" s="183" t="s">
        <v>24</v>
      </c>
      <c r="D13" s="183">
        <v>0</v>
      </c>
      <c r="E13" s="183">
        <v>2.8841443557697161E-3</v>
      </c>
      <c r="F13" s="183">
        <v>3.177839890122415E-2</v>
      </c>
      <c r="G13" s="183">
        <v>1E+30</v>
      </c>
      <c r="H13" s="183">
        <v>2.8841443557697161E-3</v>
      </c>
    </row>
    <row r="14" spans="1:8" x14ac:dyDescent="0.2">
      <c r="B14" s="183" t="s">
        <v>25</v>
      </c>
      <c r="C14" s="183" t="s">
        <v>26</v>
      </c>
      <c r="D14" s="183">
        <v>0</v>
      </c>
      <c r="E14" s="183">
        <v>1.425659867711076E-2</v>
      </c>
      <c r="F14" s="183">
        <v>3.2513398677110672E-2</v>
      </c>
      <c r="G14" s="183">
        <v>1E+30</v>
      </c>
      <c r="H14" s="183">
        <v>1.425659867711076E-2</v>
      </c>
    </row>
    <row r="15" spans="1:8" x14ac:dyDescent="0.2">
      <c r="B15" s="183" t="s">
        <v>27</v>
      </c>
      <c r="C15" s="183" t="s">
        <v>28</v>
      </c>
      <c r="D15" s="183">
        <v>103</v>
      </c>
      <c r="E15" s="183">
        <v>0</v>
      </c>
      <c r="F15" s="183">
        <v>0</v>
      </c>
      <c r="G15" s="183">
        <v>3.1285714285714319E-2</v>
      </c>
      <c r="H15" s="183">
        <v>1E+30</v>
      </c>
    </row>
    <row r="16" spans="1:8" x14ac:dyDescent="0.2">
      <c r="B16" s="183" t="s">
        <v>29</v>
      </c>
      <c r="C16" s="183" t="s">
        <v>30</v>
      </c>
      <c r="D16" s="183">
        <v>74</v>
      </c>
      <c r="E16" s="183">
        <v>0</v>
      </c>
      <c r="F16" s="183">
        <v>4.0357142857142869E-2</v>
      </c>
      <c r="G16" s="183">
        <v>1.5612511283791261E-17</v>
      </c>
      <c r="H16" s="183">
        <v>1E+30</v>
      </c>
    </row>
    <row r="17" spans="1:11" x14ac:dyDescent="0.2">
      <c r="B17" s="183" t="s">
        <v>31</v>
      </c>
      <c r="C17" s="183" t="s">
        <v>32</v>
      </c>
      <c r="D17" s="183">
        <v>0</v>
      </c>
      <c r="E17" s="183">
        <v>1.385714285714279E-2</v>
      </c>
      <c r="F17" s="183">
        <v>5.1714285714285713E-2</v>
      </c>
      <c r="G17" s="183">
        <v>1E+30</v>
      </c>
      <c r="H17" s="183">
        <v>1.385714285714279E-2</v>
      </c>
    </row>
    <row r="18" spans="1:11" x14ac:dyDescent="0.2">
      <c r="B18" s="183" t="s">
        <v>33</v>
      </c>
      <c r="C18" s="183" t="s">
        <v>34</v>
      </c>
      <c r="D18" s="183">
        <v>60</v>
      </c>
      <c r="E18" s="183">
        <v>0</v>
      </c>
      <c r="F18" s="183">
        <v>1.7357142857142849E-2</v>
      </c>
      <c r="G18" s="183">
        <v>8.8571428571428412E-3</v>
      </c>
      <c r="H18" s="183">
        <v>1E+30</v>
      </c>
    </row>
    <row r="19" spans="1:11" x14ac:dyDescent="0.2">
      <c r="B19" s="183" t="s">
        <v>35</v>
      </c>
      <c r="C19" s="183" t="s">
        <v>36</v>
      </c>
      <c r="D19" s="183">
        <v>0</v>
      </c>
      <c r="E19" s="183">
        <v>3.3428571428571419E-2</v>
      </c>
      <c r="F19" s="183">
        <v>5.514285714285716E-2</v>
      </c>
      <c r="G19" s="183">
        <v>1E+30</v>
      </c>
      <c r="H19" s="183">
        <v>3.3428571428571419E-2</v>
      </c>
    </row>
    <row r="20" spans="1:11" x14ac:dyDescent="0.2">
      <c r="B20" s="183" t="s">
        <v>37</v>
      </c>
      <c r="C20" s="183" t="s">
        <v>38</v>
      </c>
      <c r="D20" s="183">
        <v>0</v>
      </c>
      <c r="E20" s="183">
        <v>2.5071428571428508E-2</v>
      </c>
      <c r="F20" s="183">
        <v>5.2999999999999992E-2</v>
      </c>
      <c r="G20" s="183">
        <v>1E+30</v>
      </c>
      <c r="H20" s="183">
        <v>2.5071428571428508E-2</v>
      </c>
    </row>
    <row r="21" spans="1:11" x14ac:dyDescent="0.2">
      <c r="B21" s="183" t="s">
        <v>39</v>
      </c>
      <c r="C21" s="183" t="s">
        <v>40</v>
      </c>
      <c r="D21" s="183">
        <v>4.9999999999999876</v>
      </c>
      <c r="E21" s="183">
        <v>0</v>
      </c>
      <c r="F21" s="183">
        <v>4.1857142857142871E-2</v>
      </c>
      <c r="G21" s="183">
        <v>1.385714285714279E-2</v>
      </c>
      <c r="H21" s="183">
        <v>1.5612511283791261E-17</v>
      </c>
    </row>
    <row r="22" spans="1:11" x14ac:dyDescent="0.2">
      <c r="B22" s="183" t="s">
        <v>41</v>
      </c>
      <c r="C22" s="183" t="s">
        <v>42</v>
      </c>
      <c r="D22" s="183">
        <v>0</v>
      </c>
      <c r="E22" s="183">
        <v>3.1285714285714319E-2</v>
      </c>
      <c r="F22" s="183">
        <v>3.2357142857142862E-2</v>
      </c>
      <c r="G22" s="183">
        <v>1E+30</v>
      </c>
      <c r="H22" s="183">
        <v>3.1285714285714319E-2</v>
      </c>
    </row>
    <row r="23" spans="1:11" x14ac:dyDescent="0.2">
      <c r="B23" s="183" t="s">
        <v>43</v>
      </c>
      <c r="C23" s="183" t="s">
        <v>44</v>
      </c>
      <c r="D23" s="183">
        <v>0</v>
      </c>
      <c r="E23" s="183">
        <v>1.5612511283791261E-17</v>
      </c>
      <c r="F23" s="183">
        <v>4.1428571428571433E-2</v>
      </c>
      <c r="G23" s="183">
        <v>1E+30</v>
      </c>
      <c r="H23" s="183">
        <v>1.5612511283791261E-17</v>
      </c>
    </row>
    <row r="24" spans="1:11" x14ac:dyDescent="0.2">
      <c r="B24" s="183" t="s">
        <v>45</v>
      </c>
      <c r="C24" s="183" t="s">
        <v>46</v>
      </c>
      <c r="D24" s="183">
        <v>49.999999999999957</v>
      </c>
      <c r="E24" s="183">
        <v>0</v>
      </c>
      <c r="F24" s="183">
        <v>3.8928571428571479E-2</v>
      </c>
      <c r="G24" s="183">
        <v>1.385714285714279E-2</v>
      </c>
      <c r="H24" s="183">
        <v>1623628930740.9021</v>
      </c>
    </row>
    <row r="25" spans="1:11" x14ac:dyDescent="0.2">
      <c r="B25" s="183" t="s">
        <v>47</v>
      </c>
      <c r="C25" s="183" t="s">
        <v>48</v>
      </c>
      <c r="D25" s="183">
        <v>0</v>
      </c>
      <c r="E25" s="183">
        <v>8.8571428571428412E-3</v>
      </c>
      <c r="F25" s="183">
        <v>2.728571428571425E-2</v>
      </c>
      <c r="G25" s="183">
        <v>1E+30</v>
      </c>
      <c r="H25" s="183">
        <v>8.8571428571428412E-3</v>
      </c>
    </row>
    <row r="26" spans="1:11" x14ac:dyDescent="0.2">
      <c r="B26" s="183" t="s">
        <v>49</v>
      </c>
      <c r="C26" s="183" t="s">
        <v>50</v>
      </c>
      <c r="D26" s="183">
        <v>102</v>
      </c>
      <c r="E26" s="183">
        <v>0</v>
      </c>
      <c r="F26" s="183">
        <v>2.2785714285714301E-2</v>
      </c>
      <c r="G26" s="183">
        <v>3.3428571428571419E-2</v>
      </c>
      <c r="H26" s="183">
        <v>1E+30</v>
      </c>
    </row>
    <row r="27" spans="1:11" x14ac:dyDescent="0.2">
      <c r="B27" s="183" t="s">
        <v>51</v>
      </c>
      <c r="C27" s="183" t="s">
        <v>52</v>
      </c>
      <c r="D27" s="183">
        <v>60</v>
      </c>
      <c r="E27" s="183">
        <v>0</v>
      </c>
      <c r="F27" s="183">
        <v>2.9000000000000029E-2</v>
      </c>
      <c r="G27" s="183">
        <v>2.5071428571428508E-2</v>
      </c>
      <c r="H27" s="183">
        <v>1E+30</v>
      </c>
    </row>
    <row r="28" spans="1:11" ht="13.5" customHeight="1" thickBot="1" x14ac:dyDescent="0.25">
      <c r="B28" s="184" t="s">
        <v>53</v>
      </c>
      <c r="C28" s="184" t="s">
        <v>54</v>
      </c>
      <c r="D28" s="184">
        <v>8.0000000000000124</v>
      </c>
      <c r="E28" s="184">
        <v>0</v>
      </c>
      <c r="F28" s="184">
        <v>4.2928571428571427E-2</v>
      </c>
      <c r="G28" s="184">
        <v>1.5612511283791261E-17</v>
      </c>
      <c r="H28" s="184">
        <v>1.385714285714279E-2</v>
      </c>
    </row>
    <row r="30" spans="1:11" ht="13.5" customHeight="1" thickBot="1" x14ac:dyDescent="0.25">
      <c r="A30" t="s">
        <v>55</v>
      </c>
    </row>
    <row r="31" spans="1:11" x14ac:dyDescent="0.2">
      <c r="B31" s="185"/>
      <c r="C31" s="185"/>
      <c r="D31" s="185" t="s">
        <v>4</v>
      </c>
      <c r="E31" s="185" t="s">
        <v>56</v>
      </c>
      <c r="F31" s="185" t="s">
        <v>57</v>
      </c>
      <c r="G31" s="185" t="s">
        <v>7</v>
      </c>
      <c r="H31" s="185" t="s">
        <v>7</v>
      </c>
    </row>
    <row r="32" spans="1:11" ht="13.5" customHeight="1" thickBot="1" x14ac:dyDescent="0.25">
      <c r="B32" s="186" t="s">
        <v>8</v>
      </c>
      <c r="C32" s="186" t="s">
        <v>9</v>
      </c>
      <c r="D32" s="186" t="s">
        <v>10</v>
      </c>
      <c r="E32" s="186" t="s">
        <v>58</v>
      </c>
      <c r="F32" s="186" t="s">
        <v>59</v>
      </c>
      <c r="G32" s="186" t="s">
        <v>13</v>
      </c>
      <c r="H32" s="186" t="s">
        <v>14</v>
      </c>
      <c r="J32" s="187" t="s">
        <v>60</v>
      </c>
      <c r="K32" s="187" t="s">
        <v>61</v>
      </c>
    </row>
    <row r="33" spans="2:11" x14ac:dyDescent="0.2">
      <c r="B33" s="183" t="s">
        <v>62</v>
      </c>
      <c r="C33" s="183" t="s">
        <v>63</v>
      </c>
      <c r="D33" s="183">
        <v>241.99999999999989</v>
      </c>
      <c r="E33" s="183">
        <v>3.1783679999999878E-3</v>
      </c>
      <c r="F33" s="183">
        <v>0</v>
      </c>
      <c r="G33" s="183">
        <v>8.0000000000000462</v>
      </c>
      <c r="H33" s="183">
        <v>212</v>
      </c>
      <c r="J33">
        <f>G33*E33</f>
        <v>2.5426944000000049E-2</v>
      </c>
      <c r="K33">
        <f>H33*E33</f>
        <v>0.67381401599999746</v>
      </c>
    </row>
    <row r="34" spans="2:11" x14ac:dyDescent="0.2">
      <c r="B34" s="183" t="s">
        <v>64</v>
      </c>
      <c r="C34" s="183" t="s">
        <v>65</v>
      </c>
      <c r="D34" s="183">
        <v>220</v>
      </c>
      <c r="E34" s="183">
        <v>2.0082479999999981E-3</v>
      </c>
      <c r="F34" s="183">
        <v>0</v>
      </c>
      <c r="G34" s="183">
        <v>354.6666666666668</v>
      </c>
      <c r="H34" s="183">
        <v>211.99999999999989</v>
      </c>
    </row>
    <row r="35" spans="2:11" x14ac:dyDescent="0.2">
      <c r="B35" s="183" t="s">
        <v>66</v>
      </c>
      <c r="C35" s="183" t="s">
        <v>67</v>
      </c>
      <c r="D35" s="183">
        <v>103</v>
      </c>
      <c r="E35" s="183">
        <v>3.1783679999999948E-3</v>
      </c>
      <c r="F35" s="183">
        <v>103</v>
      </c>
      <c r="G35" s="183">
        <v>8.0000000000000195</v>
      </c>
      <c r="H35" s="183">
        <v>103</v>
      </c>
      <c r="J35">
        <f t="shared" ref="J35:J41" si="0">G35*E35</f>
        <v>2.5426944000000021E-2</v>
      </c>
      <c r="K35">
        <f t="shared" ref="K35:K41" si="1">H35*E35</f>
        <v>0.32737190399999944</v>
      </c>
    </row>
    <row r="36" spans="2:11" x14ac:dyDescent="0.2">
      <c r="B36" s="183" t="s">
        <v>68</v>
      </c>
      <c r="C36" s="183" t="s">
        <v>69</v>
      </c>
      <c r="D36" s="183">
        <v>74</v>
      </c>
      <c r="E36" s="183">
        <v>4.3535510857142863E-2</v>
      </c>
      <c r="F36" s="183">
        <v>74</v>
      </c>
      <c r="G36" s="183">
        <v>8.0000000000000195</v>
      </c>
      <c r="H36" s="183">
        <v>74</v>
      </c>
      <c r="J36">
        <f t="shared" si="0"/>
        <v>0.34828408685714374</v>
      </c>
      <c r="K36">
        <f t="shared" si="1"/>
        <v>3.2216278034285719</v>
      </c>
    </row>
    <row r="37" spans="2:11" x14ac:dyDescent="0.2">
      <c r="B37" s="183" t="s">
        <v>70</v>
      </c>
      <c r="C37" s="183" t="s">
        <v>71</v>
      </c>
      <c r="D37" s="183">
        <v>49.999999999999957</v>
      </c>
      <c r="E37" s="183">
        <v>4.1035510857142937E-2</v>
      </c>
      <c r="F37" s="183">
        <v>50</v>
      </c>
      <c r="G37" s="183">
        <v>8.0000000000000071</v>
      </c>
      <c r="H37" s="183">
        <v>4.9999999999999849</v>
      </c>
      <c r="J37">
        <f t="shared" si="0"/>
        <v>0.32828408685714378</v>
      </c>
      <c r="K37">
        <f t="shared" si="1"/>
        <v>0.20517755428571408</v>
      </c>
    </row>
    <row r="38" spans="2:11" x14ac:dyDescent="0.2">
      <c r="B38" s="183" t="s">
        <v>72</v>
      </c>
      <c r="C38" s="183" t="s">
        <v>73</v>
      </c>
      <c r="D38" s="183">
        <v>60</v>
      </c>
      <c r="E38" s="183">
        <v>2.053551085714286E-2</v>
      </c>
      <c r="F38" s="183">
        <v>60</v>
      </c>
      <c r="G38" s="183">
        <v>8.0000000000000195</v>
      </c>
      <c r="H38" s="183">
        <v>60</v>
      </c>
      <c r="J38">
        <f t="shared" si="0"/>
        <v>0.16428408685714327</v>
      </c>
      <c r="K38">
        <f t="shared" si="1"/>
        <v>1.2321306514285717</v>
      </c>
    </row>
    <row r="39" spans="2:11" x14ac:dyDescent="0.2">
      <c r="B39" s="183" t="s">
        <v>74</v>
      </c>
      <c r="C39" s="183" t="s">
        <v>75</v>
      </c>
      <c r="D39" s="183">
        <v>102</v>
      </c>
      <c r="E39" s="183">
        <v>2.4892653714285749E-2</v>
      </c>
      <c r="F39" s="183">
        <v>102</v>
      </c>
      <c r="G39" s="183">
        <v>8.0000000000000124</v>
      </c>
      <c r="H39" s="183">
        <v>4.9999999999999876</v>
      </c>
      <c r="J39">
        <f t="shared" si="0"/>
        <v>0.1991412297142863</v>
      </c>
      <c r="K39">
        <f t="shared" si="1"/>
        <v>0.12446326857142843</v>
      </c>
    </row>
    <row r="40" spans="2:11" x14ac:dyDescent="0.2">
      <c r="B40" s="183" t="s">
        <v>76</v>
      </c>
      <c r="C40" s="183" t="s">
        <v>77</v>
      </c>
      <c r="D40" s="183">
        <v>60</v>
      </c>
      <c r="E40" s="183">
        <v>3.110693942857147E-2</v>
      </c>
      <c r="F40" s="183">
        <v>60</v>
      </c>
      <c r="G40" s="183">
        <v>8.0000000000000107</v>
      </c>
      <c r="H40" s="183">
        <v>4.9999999999999876</v>
      </c>
      <c r="J40">
        <f t="shared" si="0"/>
        <v>0.24885551542857209</v>
      </c>
      <c r="K40">
        <f t="shared" si="1"/>
        <v>0.15553469714285698</v>
      </c>
    </row>
    <row r="41" spans="2:11" x14ac:dyDescent="0.2">
      <c r="B41" s="183" t="s">
        <v>78</v>
      </c>
      <c r="C41" s="183" t="s">
        <v>79</v>
      </c>
      <c r="D41" s="183">
        <v>13</v>
      </c>
      <c r="E41" s="183">
        <v>4.5035510857142878E-2</v>
      </c>
      <c r="F41" s="183">
        <v>13</v>
      </c>
      <c r="G41" s="183">
        <v>8.0000000000000178</v>
      </c>
      <c r="H41" s="183">
        <v>4.9999999999999876</v>
      </c>
      <c r="J41">
        <f t="shared" si="0"/>
        <v>0.3602840868571438</v>
      </c>
      <c r="K41">
        <f t="shared" si="1"/>
        <v>0.22517755428571384</v>
      </c>
    </row>
    <row r="42" spans="2:11" x14ac:dyDescent="0.2">
      <c r="B42" s="183" t="s">
        <v>80</v>
      </c>
      <c r="C42" s="183" t="s">
        <v>81</v>
      </c>
      <c r="D42" s="183">
        <v>30</v>
      </c>
      <c r="E42" s="183">
        <v>-4.8999999999965738E-5</v>
      </c>
      <c r="F42" s="183">
        <v>30</v>
      </c>
      <c r="G42" s="183">
        <v>25.439999999999991</v>
      </c>
      <c r="H42" s="183">
        <v>0.96000000000000441</v>
      </c>
    </row>
    <row r="43" spans="2:11" x14ac:dyDescent="0.2">
      <c r="B43" s="183" t="s">
        <v>82</v>
      </c>
      <c r="C43" s="183" t="s">
        <v>83</v>
      </c>
      <c r="D43" s="183">
        <v>25.439999999999991</v>
      </c>
      <c r="E43" s="183">
        <v>0</v>
      </c>
      <c r="F43" s="183">
        <v>68</v>
      </c>
      <c r="G43" s="183">
        <v>1E+30</v>
      </c>
      <c r="H43" s="183">
        <v>42.560000000000016</v>
      </c>
    </row>
    <row r="44" spans="2:11" x14ac:dyDescent="0.2">
      <c r="B44" s="183" t="s">
        <v>84</v>
      </c>
      <c r="C44" s="183" t="s">
        <v>85</v>
      </c>
      <c r="D44" s="183">
        <v>0</v>
      </c>
      <c r="E44" s="183">
        <v>0</v>
      </c>
      <c r="F44" s="183">
        <v>20</v>
      </c>
      <c r="G44" s="183">
        <v>1E+30</v>
      </c>
      <c r="H44" s="183">
        <v>20</v>
      </c>
    </row>
    <row r="45" spans="2:11" x14ac:dyDescent="0.2">
      <c r="B45" s="183" t="s">
        <v>86</v>
      </c>
      <c r="C45" s="183" t="s">
        <v>87</v>
      </c>
      <c r="D45" s="183">
        <v>242</v>
      </c>
      <c r="E45" s="183">
        <v>0</v>
      </c>
      <c r="F45" s="183">
        <v>250</v>
      </c>
      <c r="G45" s="183">
        <v>1E+30</v>
      </c>
      <c r="H45" s="183">
        <v>8.0000000000000213</v>
      </c>
    </row>
    <row r="46" spans="2:11" ht="13.5" customHeight="1" thickBot="1" x14ac:dyDescent="0.25">
      <c r="B46" s="184" t="s">
        <v>88</v>
      </c>
      <c r="C46" s="184" t="s">
        <v>89</v>
      </c>
      <c r="D46" s="184">
        <v>220</v>
      </c>
      <c r="E46" s="184">
        <v>-9.8691428571448872E-5</v>
      </c>
      <c r="F46" s="184">
        <v>220</v>
      </c>
      <c r="G46" s="184">
        <v>4.9999999999999876</v>
      </c>
      <c r="H46" s="184">
        <v>8.0000000000000107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57"/>
  <sheetViews>
    <sheetView topLeftCell="A29" zoomScale="90" zoomScaleNormal="90" workbookViewId="0">
      <selection activeCell="G6" sqref="G6"/>
    </sheetView>
  </sheetViews>
  <sheetFormatPr defaultColWidth="9" defaultRowHeight="12.75" x14ac:dyDescent="0.2"/>
  <cols>
    <col min="2" max="2" width="11.5703125" customWidth="1"/>
    <col min="3" max="3" width="11" bestFit="1" customWidth="1"/>
    <col min="11" max="11" width="17.140625" bestFit="1" customWidth="1"/>
    <col min="12" max="12" width="17.140625" customWidth="1"/>
    <col min="13" max="13" width="13.140625" customWidth="1"/>
    <col min="14" max="14" width="10.5703125" customWidth="1"/>
  </cols>
  <sheetData>
    <row r="1" spans="2:5" x14ac:dyDescent="0.2">
      <c r="B1" t="s">
        <v>90</v>
      </c>
    </row>
    <row r="3" spans="2:5" x14ac:dyDescent="0.2">
      <c r="B3" s="49" t="s">
        <v>91</v>
      </c>
    </row>
    <row r="4" spans="2:5" ht="13.5" customHeight="1" thickBot="1" x14ac:dyDescent="0.25"/>
    <row r="5" spans="2:5" ht="13.5" customHeight="1" thickTop="1" x14ac:dyDescent="0.2">
      <c r="B5" s="20" t="s">
        <v>92</v>
      </c>
      <c r="C5" s="21"/>
      <c r="D5" s="21"/>
      <c r="E5" s="35"/>
    </row>
    <row r="6" spans="2:5" x14ac:dyDescent="0.2">
      <c r="B6" s="23"/>
      <c r="C6" s="17" t="s">
        <v>93</v>
      </c>
      <c r="E6" s="36"/>
    </row>
    <row r="7" spans="2:5" x14ac:dyDescent="0.2">
      <c r="B7" s="116" t="s">
        <v>94</v>
      </c>
      <c r="C7" s="128" t="s">
        <v>95</v>
      </c>
      <c r="D7" s="128" t="s">
        <v>96</v>
      </c>
      <c r="E7" s="127"/>
    </row>
    <row r="8" spans="2:5" x14ac:dyDescent="0.2">
      <c r="B8" s="64" t="s">
        <v>97</v>
      </c>
      <c r="C8" s="12">
        <v>103</v>
      </c>
      <c r="E8" s="126"/>
    </row>
    <row r="9" spans="2:5" x14ac:dyDescent="0.2">
      <c r="B9" s="64" t="s">
        <v>98</v>
      </c>
      <c r="C9" s="12">
        <v>74</v>
      </c>
      <c r="E9" s="126"/>
    </row>
    <row r="10" spans="2:5" x14ac:dyDescent="0.2">
      <c r="B10" s="64" t="s">
        <v>99</v>
      </c>
      <c r="C10" s="12">
        <v>50</v>
      </c>
      <c r="E10" s="126"/>
    </row>
    <row r="11" spans="2:5" x14ac:dyDescent="0.2">
      <c r="B11" s="64" t="s">
        <v>100</v>
      </c>
      <c r="C11" s="12">
        <v>60</v>
      </c>
      <c r="E11" s="126"/>
    </row>
    <row r="12" spans="2:5" x14ac:dyDescent="0.2">
      <c r="B12" s="64" t="s">
        <v>101</v>
      </c>
      <c r="C12" s="12">
        <v>102</v>
      </c>
      <c r="E12" s="126"/>
    </row>
    <row r="13" spans="2:5" x14ac:dyDescent="0.2">
      <c r="B13" s="64" t="s">
        <v>102</v>
      </c>
      <c r="C13" s="12">
        <v>60</v>
      </c>
      <c r="E13" s="126"/>
    </row>
    <row r="14" spans="2:5" x14ac:dyDescent="0.2">
      <c r="B14" s="64" t="s">
        <v>103</v>
      </c>
      <c r="C14" s="12">
        <v>13</v>
      </c>
      <c r="E14" s="126"/>
    </row>
    <row r="15" spans="2:5" ht="13.5" customHeight="1" thickBot="1" x14ac:dyDescent="0.25">
      <c r="B15" s="125" t="s">
        <v>104</v>
      </c>
      <c r="C15" s="27">
        <f>SUM(C8:C14)</f>
        <v>462</v>
      </c>
      <c r="D15" s="40" t="s">
        <v>96</v>
      </c>
      <c r="E15" s="124"/>
    </row>
    <row r="16" spans="2:5" ht="13.5" customHeight="1" thickTop="1" x14ac:dyDescent="0.2"/>
    <row r="17" spans="2:19" x14ac:dyDescent="0.2">
      <c r="L17" s="33" t="s">
        <v>105</v>
      </c>
    </row>
    <row r="18" spans="2:19" ht="13.5" customHeight="1" thickBot="1" x14ac:dyDescent="0.25">
      <c r="B18" s="34" t="s">
        <v>106</v>
      </c>
    </row>
    <row r="19" spans="2:19" ht="14.25" customHeight="1" thickTop="1" thickBot="1" x14ac:dyDescent="0.25">
      <c r="H19" s="12"/>
      <c r="L19" s="20" t="s">
        <v>107</v>
      </c>
      <c r="M19" s="35"/>
      <c r="O19" s="20" t="s">
        <v>108</v>
      </c>
      <c r="P19" s="29"/>
      <c r="Q19" s="21"/>
      <c r="R19" s="21"/>
      <c r="S19" s="35"/>
    </row>
    <row r="20" spans="2:19" ht="13.5" customHeight="1" thickTop="1" x14ac:dyDescent="0.2">
      <c r="B20" s="20" t="s">
        <v>109</v>
      </c>
      <c r="C20" s="21"/>
      <c r="D20" s="21"/>
      <c r="E20" s="21"/>
      <c r="F20" s="21"/>
      <c r="G20" s="22"/>
      <c r="L20" s="43"/>
      <c r="M20" s="41" t="s">
        <v>110</v>
      </c>
      <c r="O20" s="23"/>
      <c r="R20" s="17" t="s">
        <v>93</v>
      </c>
      <c r="S20" s="36"/>
    </row>
    <row r="21" spans="2:19" x14ac:dyDescent="0.2">
      <c r="B21" s="50" t="s">
        <v>111</v>
      </c>
      <c r="D21" s="204"/>
      <c r="E21" s="205"/>
      <c r="F21" s="205"/>
      <c r="G21" s="36"/>
      <c r="L21" s="25" t="s">
        <v>112</v>
      </c>
      <c r="M21" s="109">
        <v>30</v>
      </c>
      <c r="O21" s="37" t="s">
        <v>113</v>
      </c>
      <c r="P21" s="42"/>
      <c r="Q21" s="15"/>
      <c r="R21" s="38" t="s">
        <v>114</v>
      </c>
      <c r="S21" s="36"/>
    </row>
    <row r="22" spans="2:19" ht="13.5" customHeight="1" thickBot="1" x14ac:dyDescent="0.25">
      <c r="B22" s="23"/>
      <c r="C22" s="206" t="s">
        <v>115</v>
      </c>
      <c r="D22" s="205"/>
      <c r="G22" s="36"/>
      <c r="L22" s="25" t="s">
        <v>116</v>
      </c>
      <c r="M22" s="110">
        <v>68</v>
      </c>
      <c r="O22" s="23"/>
      <c r="Q22" s="7" t="s">
        <v>97</v>
      </c>
      <c r="R22" s="95">
        <v>250</v>
      </c>
      <c r="S22" s="36"/>
    </row>
    <row r="23" spans="2:19" ht="13.5" customHeight="1" thickBot="1" x14ac:dyDescent="0.25">
      <c r="B23" s="24" t="s">
        <v>117</v>
      </c>
      <c r="C23" s="66" t="s">
        <v>97</v>
      </c>
      <c r="D23" s="67" t="s">
        <v>118</v>
      </c>
      <c r="G23" s="36"/>
      <c r="L23" s="26" t="s">
        <v>119</v>
      </c>
      <c r="M23" s="104">
        <v>20</v>
      </c>
      <c r="O23" s="32"/>
      <c r="P23" s="40"/>
      <c r="Q23" s="28" t="s">
        <v>118</v>
      </c>
      <c r="R23" s="102">
        <v>220</v>
      </c>
      <c r="S23" s="61"/>
    </row>
    <row r="24" spans="2:19" x14ac:dyDescent="0.2">
      <c r="B24" s="25" t="s">
        <v>112</v>
      </c>
      <c r="C24" s="72">
        <v>2.64374E-2</v>
      </c>
      <c r="D24" s="130">
        <v>1.6686400000000001E-2</v>
      </c>
      <c r="G24" s="36"/>
      <c r="L24" s="7"/>
    </row>
    <row r="25" spans="2:19" x14ac:dyDescent="0.2">
      <c r="B25" s="25" t="s">
        <v>116</v>
      </c>
      <c r="C25" s="75">
        <v>3.6825400000000001E-2</v>
      </c>
      <c r="D25" s="129">
        <v>1.6735400000000001E-2</v>
      </c>
      <c r="G25" s="36"/>
      <c r="L25" s="7"/>
    </row>
    <row r="26" spans="2:19" x14ac:dyDescent="0.2">
      <c r="B26" s="25" t="s">
        <v>119</v>
      </c>
      <c r="C26" s="78">
        <v>3.1778398901224143E-2</v>
      </c>
      <c r="D26" s="76">
        <v>3.2513398677110672E-2</v>
      </c>
      <c r="G26" s="36"/>
    </row>
    <row r="27" spans="2:19" ht="13.5" customHeight="1" thickBot="1" x14ac:dyDescent="0.25">
      <c r="B27" s="26"/>
      <c r="C27" s="27"/>
      <c r="D27" s="27"/>
      <c r="E27" s="27"/>
      <c r="F27" s="27"/>
      <c r="G27" s="124"/>
      <c r="M27" s="33" t="s">
        <v>120</v>
      </c>
    </row>
    <row r="28" spans="2:19" ht="14.25" customHeight="1" thickTop="1" thickBot="1" x14ac:dyDescent="0.25">
      <c r="B28" s="135" t="s">
        <v>121</v>
      </c>
      <c r="C28" s="12"/>
      <c r="D28" s="12"/>
      <c r="E28" s="12"/>
      <c r="F28" s="12"/>
      <c r="G28" s="12"/>
    </row>
    <row r="29" spans="2:19" ht="14.25" customHeight="1" thickTop="1" thickBot="1" x14ac:dyDescent="0.25">
      <c r="B29" s="7"/>
      <c r="C29" s="12"/>
      <c r="D29" s="12"/>
      <c r="E29" s="12"/>
      <c r="F29" s="12"/>
      <c r="G29" s="12"/>
      <c r="H29" s="12"/>
      <c r="M29" s="51"/>
      <c r="N29" s="35"/>
    </row>
    <row r="30" spans="2:19" ht="13.5" customHeight="1" thickTop="1" x14ac:dyDescent="0.2">
      <c r="B30" s="20" t="s">
        <v>122</v>
      </c>
      <c r="C30" s="21"/>
      <c r="D30" s="30"/>
      <c r="E30" s="30"/>
      <c r="F30" s="30"/>
      <c r="G30" s="30"/>
      <c r="H30" s="30"/>
      <c r="I30" s="30"/>
      <c r="J30" s="22"/>
      <c r="K30" s="12"/>
      <c r="M30" s="115" t="s">
        <v>123</v>
      </c>
      <c r="N30" s="36"/>
    </row>
    <row r="31" spans="2:19" x14ac:dyDescent="0.2">
      <c r="B31" s="50" t="s">
        <v>124</v>
      </c>
      <c r="C31" s="17"/>
      <c r="D31" s="204"/>
      <c r="E31" s="205"/>
      <c r="F31" s="205"/>
      <c r="G31" s="205"/>
      <c r="H31" s="205"/>
      <c r="I31" s="205"/>
      <c r="J31" s="134"/>
      <c r="K31" s="16"/>
      <c r="M31" s="116" t="s">
        <v>125</v>
      </c>
      <c r="N31" s="36"/>
      <c r="R31" s="7"/>
    </row>
    <row r="32" spans="2:19" x14ac:dyDescent="0.2">
      <c r="B32" s="23"/>
      <c r="C32" s="17"/>
      <c r="D32" s="204" t="s">
        <v>126</v>
      </c>
      <c r="E32" s="205"/>
      <c r="F32" s="205"/>
      <c r="G32" s="205"/>
      <c r="H32" s="205"/>
      <c r="I32" s="205"/>
      <c r="J32" s="134"/>
      <c r="K32" s="16"/>
      <c r="M32" s="25" t="s">
        <v>127</v>
      </c>
      <c r="N32" s="111">
        <v>8.3333333333333339</v>
      </c>
      <c r="R32" s="7"/>
    </row>
    <row r="33" spans="2:14" ht="13.5" customHeight="1" thickBot="1" x14ac:dyDescent="0.25">
      <c r="B33" s="23"/>
      <c r="C33" s="15" t="s">
        <v>128</v>
      </c>
      <c r="D33" s="9" t="s">
        <v>97</v>
      </c>
      <c r="E33" s="9" t="s">
        <v>98</v>
      </c>
      <c r="F33" s="9" t="s">
        <v>99</v>
      </c>
      <c r="G33" s="9" t="s">
        <v>100</v>
      </c>
      <c r="H33" s="9" t="s">
        <v>101</v>
      </c>
      <c r="I33" s="9" t="s">
        <v>102</v>
      </c>
      <c r="J33" s="31" t="s">
        <v>129</v>
      </c>
      <c r="K33" s="9"/>
      <c r="M33" s="26" t="s">
        <v>130</v>
      </c>
      <c r="N33" s="105">
        <v>9.0909090909090917</v>
      </c>
    </row>
    <row r="34" spans="2:14" ht="13.5" customHeight="1" thickTop="1" x14ac:dyDescent="0.2">
      <c r="B34" s="207"/>
      <c r="C34" s="54" t="s">
        <v>97</v>
      </c>
      <c r="D34" s="79">
        <v>0</v>
      </c>
      <c r="E34" s="80">
        <v>4.0357142857142862E-2</v>
      </c>
      <c r="F34" s="80">
        <v>5.171428571428572E-2</v>
      </c>
      <c r="G34" s="80">
        <v>1.7357142857142859E-2</v>
      </c>
      <c r="H34" s="80">
        <v>5.5142857142857153E-2</v>
      </c>
      <c r="I34" s="80">
        <v>5.2999999999999999E-2</v>
      </c>
      <c r="J34" s="81">
        <v>4.1857142857142857E-2</v>
      </c>
      <c r="K34" s="136"/>
      <c r="M34" s="7"/>
    </row>
    <row r="35" spans="2:14" ht="13.5" customHeight="1" thickBot="1" x14ac:dyDescent="0.25">
      <c r="B35" s="208"/>
      <c r="C35" s="58" t="s">
        <v>118</v>
      </c>
      <c r="D35" s="131">
        <v>3.2357142857142862E-2</v>
      </c>
      <c r="E35" s="132">
        <v>4.1428571428571433E-2</v>
      </c>
      <c r="F35" s="132">
        <v>3.892857142857143E-2</v>
      </c>
      <c r="G35" s="132">
        <v>2.7285714285714281E-2</v>
      </c>
      <c r="H35" s="132">
        <v>2.2785714285714291E-2</v>
      </c>
      <c r="I35" s="132">
        <v>2.9000000000000001E-2</v>
      </c>
      <c r="J35" s="133">
        <v>4.2928571428571427E-2</v>
      </c>
      <c r="K35" s="136"/>
    </row>
    <row r="36" spans="2:14" ht="13.5" customHeight="1" thickTop="1" x14ac:dyDescent="0.2"/>
    <row r="39" spans="2:14" x14ac:dyDescent="0.2">
      <c r="B39" s="123" t="s">
        <v>131</v>
      </c>
    </row>
    <row r="40" spans="2:14" ht="13.5" customHeight="1" thickBot="1" x14ac:dyDescent="0.25"/>
    <row r="41" spans="2:14" ht="13.5" customHeight="1" thickTop="1" x14ac:dyDescent="0.2">
      <c r="B41" s="10" t="s">
        <v>132</v>
      </c>
      <c r="C41" s="1"/>
      <c r="D41" s="1"/>
      <c r="E41" s="1"/>
      <c r="F41" s="1"/>
      <c r="G41" s="1"/>
      <c r="H41" s="1"/>
      <c r="I41" s="1"/>
      <c r="J41" s="1"/>
      <c r="K41" s="2"/>
    </row>
    <row r="42" spans="2:14" ht="13.5" customHeight="1" thickBot="1" x14ac:dyDescent="0.25">
      <c r="B42" s="4"/>
      <c r="C42" s="9" t="s">
        <v>97</v>
      </c>
      <c r="D42" s="9" t="s">
        <v>118</v>
      </c>
      <c r="E42" s="5" t="s">
        <v>104</v>
      </c>
      <c r="F42" s="122" t="s">
        <v>133</v>
      </c>
      <c r="K42" s="3"/>
    </row>
    <row r="43" spans="2:14" ht="13.5" customHeight="1" thickBot="1" x14ac:dyDescent="0.25">
      <c r="B43" s="6" t="s">
        <v>112</v>
      </c>
      <c r="C43" s="157">
        <v>29.039999999999988</v>
      </c>
      <c r="D43" s="158">
        <v>0.96000000000000441</v>
      </c>
      <c r="E43" s="159">
        <f>SUM(C43:D43)</f>
        <v>29.999999999999993</v>
      </c>
      <c r="F43" s="176">
        <v>30</v>
      </c>
      <c r="K43" s="3"/>
    </row>
    <row r="44" spans="2:14" ht="13.5" customHeight="1" thickBot="1" x14ac:dyDescent="0.25">
      <c r="B44" s="6" t="s">
        <v>116</v>
      </c>
      <c r="C44" s="160">
        <v>0</v>
      </c>
      <c r="D44" s="161">
        <v>25.439999999999991</v>
      </c>
      <c r="E44" s="159">
        <f>SUM(C44:D44)</f>
        <v>25.439999999999991</v>
      </c>
      <c r="F44" s="177">
        <v>68</v>
      </c>
      <c r="K44" s="3"/>
    </row>
    <row r="45" spans="2:14" ht="13.5" customHeight="1" thickBot="1" x14ac:dyDescent="0.25">
      <c r="B45" s="14" t="s">
        <v>130</v>
      </c>
      <c r="C45" s="162">
        <v>0</v>
      </c>
      <c r="D45" s="163">
        <v>0</v>
      </c>
      <c r="E45" s="159">
        <f>SUM(C45:D45)</f>
        <v>0</v>
      </c>
      <c r="F45" s="178">
        <v>20</v>
      </c>
      <c r="K45" s="3"/>
    </row>
    <row r="46" spans="2:14" ht="13.5" customHeight="1" thickBot="1" x14ac:dyDescent="0.25">
      <c r="B46" s="6" t="s">
        <v>134</v>
      </c>
      <c r="C46" s="173">
        <f>SUM(C43:C45)</f>
        <v>29.039999999999988</v>
      </c>
      <c r="D46" s="174">
        <f>SUM(D43:D45)</f>
        <v>26.399999999999995</v>
      </c>
      <c r="E46" s="11"/>
      <c r="F46" s="120"/>
      <c r="K46" s="3"/>
    </row>
    <row r="47" spans="2:14" ht="13.5" customHeight="1" thickBot="1" x14ac:dyDescent="0.25">
      <c r="B47" s="6" t="s">
        <v>135</v>
      </c>
      <c r="C47" s="180">
        <f>(SUM(C43:C44)*$N$32)+C45*$N$33</f>
        <v>241.99999999999991</v>
      </c>
      <c r="D47" s="175">
        <f>(SUM(D43:D44)*$N$32)+D45*$N$33</f>
        <v>219.99999999999997</v>
      </c>
      <c r="E47" s="121" t="s">
        <v>136</v>
      </c>
      <c r="F47" s="120"/>
      <c r="K47" s="3"/>
    </row>
    <row r="48" spans="2:14" x14ac:dyDescent="0.2">
      <c r="B48" s="4"/>
      <c r="K48" s="3"/>
    </row>
    <row r="49" spans="2:11" x14ac:dyDescent="0.2">
      <c r="B49" s="46" t="s">
        <v>137</v>
      </c>
      <c r="K49" s="3"/>
    </row>
    <row r="50" spans="2:11" ht="13.5" customHeight="1" thickBot="1" x14ac:dyDescent="0.25">
      <c r="B50" s="4"/>
      <c r="C50" s="9" t="s">
        <v>97</v>
      </c>
      <c r="D50" s="9" t="s">
        <v>98</v>
      </c>
      <c r="E50" s="9" t="s">
        <v>99</v>
      </c>
      <c r="F50" s="9" t="s">
        <v>100</v>
      </c>
      <c r="G50" s="9" t="s">
        <v>101</v>
      </c>
      <c r="H50" s="9" t="s">
        <v>102</v>
      </c>
      <c r="I50" s="9" t="s">
        <v>129</v>
      </c>
      <c r="J50" s="9" t="s">
        <v>104</v>
      </c>
      <c r="K50" s="44" t="s">
        <v>133</v>
      </c>
    </row>
    <row r="51" spans="2:11" ht="13.5" customHeight="1" thickBot="1" x14ac:dyDescent="0.25">
      <c r="B51" s="6" t="s">
        <v>97</v>
      </c>
      <c r="C51" s="157">
        <v>103</v>
      </c>
      <c r="D51" s="158">
        <v>74</v>
      </c>
      <c r="E51" s="158">
        <v>0</v>
      </c>
      <c r="F51" s="158">
        <v>60</v>
      </c>
      <c r="G51" s="158">
        <v>0</v>
      </c>
      <c r="H51" s="158">
        <v>0</v>
      </c>
      <c r="I51" s="164">
        <v>4.9999999999999876</v>
      </c>
      <c r="J51" s="165">
        <f>SUM(C51:I51)</f>
        <v>242</v>
      </c>
      <c r="K51" s="166">
        <f>R22</f>
        <v>250</v>
      </c>
    </row>
    <row r="52" spans="2:11" ht="13.5" customHeight="1" thickBot="1" x14ac:dyDescent="0.25">
      <c r="B52" s="6" t="s">
        <v>118</v>
      </c>
      <c r="C52" s="160">
        <v>0</v>
      </c>
      <c r="D52" s="161">
        <v>0</v>
      </c>
      <c r="E52" s="161">
        <v>49.999999999999957</v>
      </c>
      <c r="F52" s="161">
        <v>0</v>
      </c>
      <c r="G52" s="161">
        <v>102</v>
      </c>
      <c r="H52" s="161">
        <v>60</v>
      </c>
      <c r="I52" s="167">
        <v>8.0000000000000124</v>
      </c>
      <c r="J52" s="165">
        <f>SUM(C52:I52)</f>
        <v>219.99999999999994</v>
      </c>
      <c r="K52" s="168">
        <f>R23</f>
        <v>220</v>
      </c>
    </row>
    <row r="53" spans="2:11" ht="13.5" customHeight="1" thickBot="1" x14ac:dyDescent="0.25">
      <c r="B53" s="6" t="s">
        <v>104</v>
      </c>
      <c r="C53" s="169">
        <f t="shared" ref="C53:I53" si="0">SUM(C51:C52)</f>
        <v>103</v>
      </c>
      <c r="D53" s="169">
        <f t="shared" si="0"/>
        <v>74</v>
      </c>
      <c r="E53" s="169">
        <f t="shared" si="0"/>
        <v>49.999999999999957</v>
      </c>
      <c r="F53" s="169">
        <f t="shared" si="0"/>
        <v>60</v>
      </c>
      <c r="G53" s="169">
        <f t="shared" si="0"/>
        <v>102</v>
      </c>
      <c r="H53" s="169">
        <f t="shared" si="0"/>
        <v>60</v>
      </c>
      <c r="I53" s="169">
        <f t="shared" si="0"/>
        <v>13</v>
      </c>
      <c r="J53" s="13"/>
      <c r="K53" s="3"/>
    </row>
    <row r="54" spans="2:11" ht="13.5" customHeight="1" thickBot="1" x14ac:dyDescent="0.25">
      <c r="B54" s="45" t="s">
        <v>138</v>
      </c>
      <c r="C54" s="170">
        <v>103</v>
      </c>
      <c r="D54" s="171">
        <v>74</v>
      </c>
      <c r="E54" s="171">
        <v>50</v>
      </c>
      <c r="F54" s="171">
        <v>60</v>
      </c>
      <c r="G54" s="171">
        <v>102</v>
      </c>
      <c r="H54" s="171">
        <v>60</v>
      </c>
      <c r="I54" s="172">
        <v>13</v>
      </c>
      <c r="J54" s="13" t="s">
        <v>96</v>
      </c>
      <c r="K54" s="3"/>
    </row>
    <row r="55" spans="2:11" ht="14.25" customHeight="1" thickTop="1" thickBot="1" x14ac:dyDescent="0.25">
      <c r="B55" s="4"/>
      <c r="I55" s="119" t="s">
        <v>139</v>
      </c>
      <c r="J55" s="118"/>
      <c r="K55" s="179">
        <f>SUMPRODUCT(C24:D26,C43:D45)+SUMPRODUCT(D34:J35,C51:I52)</f>
        <v>11.800652473142856</v>
      </c>
    </row>
    <row r="56" spans="2:11" ht="14.25" customHeight="1" thickTop="1" thickBot="1" x14ac:dyDescent="0.25">
      <c r="B56" s="112"/>
      <c r="C56" s="113"/>
      <c r="D56" s="113"/>
      <c r="E56" s="113"/>
      <c r="F56" s="113"/>
      <c r="G56" s="117" t="s">
        <v>96</v>
      </c>
      <c r="H56" s="117"/>
      <c r="I56" s="113"/>
      <c r="J56" s="209" t="s">
        <v>140</v>
      </c>
      <c r="K56" s="210"/>
    </row>
    <row r="57" spans="2:11" ht="13.5" customHeight="1" thickTop="1" x14ac:dyDescent="0.2"/>
  </sheetData>
  <mergeCells count="6">
    <mergeCell ref="J56:K56"/>
    <mergeCell ref="D32:I32"/>
    <mergeCell ref="D31:I31"/>
    <mergeCell ref="C22:D22"/>
    <mergeCell ref="B34:B35"/>
    <mergeCell ref="D21:F2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38"/>
  <sheetViews>
    <sheetView showGridLines="0" workbookViewId="0">
      <selection activeCell="O38" sqref="O38"/>
    </sheetView>
  </sheetViews>
  <sheetFormatPr defaultColWidth="9" defaultRowHeight="12.75" x14ac:dyDescent="0.2"/>
  <cols>
    <col min="11" max="11" width="11.140625" customWidth="1"/>
    <col min="12" max="12" width="15.5703125" customWidth="1"/>
    <col min="13" max="13" width="13.85546875" customWidth="1"/>
    <col min="14" max="14" width="13.5703125" customWidth="1"/>
  </cols>
  <sheetData>
    <row r="1" spans="2:20" x14ac:dyDescent="0.2">
      <c r="B1" t="s">
        <v>141</v>
      </c>
    </row>
    <row r="3" spans="2:20" x14ac:dyDescent="0.2">
      <c r="B3" s="34" t="s">
        <v>106</v>
      </c>
      <c r="L3" s="33" t="s">
        <v>105</v>
      </c>
    </row>
    <row r="4" spans="2:20" ht="13.5" customHeight="1" thickBot="1" x14ac:dyDescent="0.25">
      <c r="H4" s="12"/>
    </row>
    <row r="5" spans="2:20" ht="13.5" customHeight="1" thickTop="1" x14ac:dyDescent="0.2">
      <c r="B5" s="20" t="s">
        <v>109</v>
      </c>
      <c r="C5" s="21"/>
      <c r="D5" s="21"/>
      <c r="E5" s="21"/>
      <c r="F5" s="21"/>
      <c r="G5" s="30"/>
      <c r="H5" s="59"/>
      <c r="I5" s="21"/>
      <c r="J5" s="35"/>
      <c r="L5" s="20" t="s">
        <v>107</v>
      </c>
      <c r="M5" s="35"/>
      <c r="P5" s="20" t="s">
        <v>108</v>
      </c>
      <c r="Q5" s="29"/>
      <c r="R5" s="21"/>
      <c r="S5" s="21"/>
      <c r="T5" s="35"/>
    </row>
    <row r="6" spans="2:20" x14ac:dyDescent="0.2">
      <c r="B6" s="50" t="s">
        <v>142</v>
      </c>
      <c r="D6" s="204" t="s">
        <v>143</v>
      </c>
      <c r="E6" s="205"/>
      <c r="F6" s="205"/>
      <c r="H6" s="16"/>
      <c r="J6" s="36"/>
      <c r="L6" s="43"/>
      <c r="M6" s="41" t="s">
        <v>110</v>
      </c>
      <c r="N6" s="17"/>
      <c r="P6" s="23"/>
      <c r="S6" s="17" t="s">
        <v>93</v>
      </c>
      <c r="T6" s="36"/>
    </row>
    <row r="7" spans="2:20" ht="13.5" customHeight="1" thickBot="1" x14ac:dyDescent="0.25">
      <c r="B7" s="23"/>
      <c r="C7" s="206" t="s">
        <v>115</v>
      </c>
      <c r="D7" s="205"/>
      <c r="E7" s="211" t="s">
        <v>144</v>
      </c>
      <c r="F7" s="212"/>
      <c r="G7" s="212"/>
      <c r="H7" s="212"/>
      <c r="I7" s="212"/>
      <c r="J7" s="138"/>
      <c r="K7" s="47"/>
      <c r="L7" s="25" t="s">
        <v>112</v>
      </c>
      <c r="M7" s="109">
        <v>30</v>
      </c>
      <c r="N7" s="11"/>
      <c r="P7" s="37" t="s">
        <v>113</v>
      </c>
      <c r="Q7" s="42"/>
      <c r="R7" s="15"/>
      <c r="S7" s="38" t="s">
        <v>114</v>
      </c>
      <c r="T7" s="36"/>
    </row>
    <row r="8" spans="2:20" ht="13.5" customHeight="1" thickBot="1" x14ac:dyDescent="0.25">
      <c r="B8" s="24" t="s">
        <v>117</v>
      </c>
      <c r="C8" s="66" t="s">
        <v>97</v>
      </c>
      <c r="D8" s="67" t="s">
        <v>118</v>
      </c>
      <c r="E8" s="66" t="s">
        <v>98</v>
      </c>
      <c r="F8" s="68" t="s">
        <v>145</v>
      </c>
      <c r="G8" s="69" t="s">
        <v>146</v>
      </c>
      <c r="H8" s="69" t="s">
        <v>102</v>
      </c>
      <c r="I8" s="69" t="s">
        <v>147</v>
      </c>
      <c r="J8" s="70" t="s">
        <v>148</v>
      </c>
      <c r="K8" s="137"/>
      <c r="L8" s="25" t="s">
        <v>116</v>
      </c>
      <c r="M8" s="110">
        <v>68</v>
      </c>
      <c r="N8" s="11"/>
      <c r="P8" s="23"/>
      <c r="R8" s="7" t="s">
        <v>97</v>
      </c>
      <c r="S8" s="95">
        <v>250</v>
      </c>
      <c r="T8" s="36"/>
    </row>
    <row r="9" spans="2:20" ht="13.5" customHeight="1" thickBot="1" x14ac:dyDescent="0.25">
      <c r="B9" s="25" t="s">
        <v>112</v>
      </c>
      <c r="C9" s="72">
        <v>2.64374E-2</v>
      </c>
      <c r="D9" s="72">
        <v>1.6686400000000001E-2</v>
      </c>
      <c r="E9" s="72">
        <v>1.9920400000000001E-2</v>
      </c>
      <c r="F9" s="72">
        <v>1.9185399999999998E-2</v>
      </c>
      <c r="G9" s="72">
        <v>3.2170400000000002E-2</v>
      </c>
      <c r="H9" s="72">
        <v>3.6999999999999998E-2</v>
      </c>
      <c r="I9" s="73">
        <v>2.64374E-2</v>
      </c>
      <c r="J9" s="74">
        <v>1.6686400000000001E-2</v>
      </c>
      <c r="K9" s="151"/>
      <c r="L9" s="26" t="s">
        <v>119</v>
      </c>
      <c r="M9" s="104">
        <v>20</v>
      </c>
      <c r="N9" s="11"/>
      <c r="P9" s="23"/>
      <c r="R9" s="7" t="s">
        <v>118</v>
      </c>
      <c r="S9" s="101">
        <v>220</v>
      </c>
      <c r="T9" s="36"/>
    </row>
    <row r="10" spans="2:20" ht="13.5" customHeight="1" thickTop="1" x14ac:dyDescent="0.2">
      <c r="B10" s="25" t="s">
        <v>116</v>
      </c>
      <c r="C10" s="75">
        <v>3.6825400000000001E-2</v>
      </c>
      <c r="D10" s="75">
        <v>1.6735400000000001E-2</v>
      </c>
      <c r="E10" s="75">
        <v>3.0847400000000001E-2</v>
      </c>
      <c r="F10" s="75">
        <v>2.95734E-2</v>
      </c>
      <c r="G10" s="75">
        <v>2.1537400000000002E-2</v>
      </c>
      <c r="H10" s="75">
        <v>3.3000000000000002E-2</v>
      </c>
      <c r="I10" s="76">
        <v>3.6825400000000001E-2</v>
      </c>
      <c r="J10" s="77">
        <v>1.6735400000000001E-2</v>
      </c>
      <c r="K10" s="151"/>
      <c r="L10" s="7"/>
      <c r="P10" s="37" t="s">
        <v>149</v>
      </c>
      <c r="Q10" s="42"/>
      <c r="S10" s="71" t="s">
        <v>150</v>
      </c>
      <c r="T10" s="39" t="s">
        <v>151</v>
      </c>
    </row>
    <row r="11" spans="2:20" x14ac:dyDescent="0.2">
      <c r="B11" s="25" t="s">
        <v>119</v>
      </c>
      <c r="C11" s="78">
        <v>3.1778399999999998E-2</v>
      </c>
      <c r="D11" s="78">
        <v>3.2513399999999998E-2</v>
      </c>
      <c r="E11" s="78">
        <v>4.0934000000000014E-3</v>
      </c>
      <c r="F11" s="78">
        <v>2.76134E-2</v>
      </c>
      <c r="G11" s="78">
        <v>4.799740000000001E-2</v>
      </c>
      <c r="H11" s="78">
        <v>5.2999999999999999E-2</v>
      </c>
      <c r="I11" s="76">
        <v>3.1778399999999998E-2</v>
      </c>
      <c r="J11" s="77">
        <v>3.2513399999999998E-2</v>
      </c>
      <c r="K11" s="151"/>
      <c r="L11" s="7"/>
      <c r="P11" s="23"/>
      <c r="R11" s="18" t="s">
        <v>98</v>
      </c>
      <c r="S11" s="95">
        <v>90</v>
      </c>
      <c r="T11" s="96">
        <v>30</v>
      </c>
    </row>
    <row r="12" spans="2:20" ht="13.5" customHeight="1" thickBot="1" x14ac:dyDescent="0.25">
      <c r="B12" s="26"/>
      <c r="C12" s="27"/>
      <c r="D12" s="27"/>
      <c r="E12" s="27"/>
      <c r="F12" s="27"/>
      <c r="G12" s="27"/>
      <c r="H12" s="60"/>
      <c r="I12" s="139"/>
      <c r="J12" s="140"/>
      <c r="L12" s="33" t="s">
        <v>120</v>
      </c>
      <c r="P12" s="23"/>
      <c r="R12" s="7" t="s">
        <v>145</v>
      </c>
      <c r="S12" s="95">
        <v>90</v>
      </c>
      <c r="T12" s="96">
        <v>30</v>
      </c>
    </row>
    <row r="13" spans="2:20" ht="14.25" customHeight="1" thickTop="1" thickBot="1" x14ac:dyDescent="0.25">
      <c r="B13" s="7"/>
      <c r="C13" s="12"/>
      <c r="D13" s="12"/>
      <c r="E13" s="12"/>
      <c r="F13" s="12"/>
      <c r="G13" s="12"/>
      <c r="H13" s="12"/>
      <c r="P13" s="23"/>
      <c r="R13" s="7" t="s">
        <v>146</v>
      </c>
      <c r="S13" s="95">
        <v>90</v>
      </c>
      <c r="T13" s="96">
        <v>30</v>
      </c>
    </row>
    <row r="14" spans="2:20" ht="13.5" customHeight="1" thickTop="1" x14ac:dyDescent="0.2">
      <c r="B14" s="20" t="s">
        <v>122</v>
      </c>
      <c r="C14" s="21"/>
      <c r="D14" s="30"/>
      <c r="E14" s="30"/>
      <c r="F14" s="30"/>
      <c r="G14" s="30"/>
      <c r="H14" s="30"/>
      <c r="I14" s="30"/>
      <c r="J14" s="154"/>
      <c r="K14" s="12"/>
      <c r="L14" s="51"/>
      <c r="M14" s="35"/>
      <c r="P14" s="23"/>
      <c r="R14" s="7" t="s">
        <v>102</v>
      </c>
      <c r="S14" s="95">
        <v>90</v>
      </c>
      <c r="T14" s="96">
        <v>30</v>
      </c>
    </row>
    <row r="15" spans="2:20" x14ac:dyDescent="0.2">
      <c r="B15" s="50" t="s">
        <v>124</v>
      </c>
      <c r="C15" s="17"/>
      <c r="D15" s="204"/>
      <c r="E15" s="205"/>
      <c r="F15" s="205"/>
      <c r="G15" s="205"/>
      <c r="H15" s="205"/>
      <c r="I15" s="205"/>
      <c r="J15" s="155"/>
      <c r="K15" s="16"/>
      <c r="L15" s="115" t="s">
        <v>123</v>
      </c>
      <c r="M15" s="36"/>
      <c r="P15" s="23"/>
      <c r="R15" s="7" t="s">
        <v>147</v>
      </c>
      <c r="S15" s="95">
        <v>90</v>
      </c>
      <c r="T15" s="96">
        <v>30</v>
      </c>
    </row>
    <row r="16" spans="2:20" ht="13.5" customHeight="1" thickBot="1" x14ac:dyDescent="0.25">
      <c r="B16" s="23"/>
      <c r="C16" s="17"/>
      <c r="D16" s="204" t="s">
        <v>126</v>
      </c>
      <c r="E16" s="205"/>
      <c r="F16" s="205"/>
      <c r="G16" s="205"/>
      <c r="H16" s="205"/>
      <c r="I16" s="205"/>
      <c r="J16" s="155"/>
      <c r="K16" s="16"/>
      <c r="L16" s="116" t="s">
        <v>125</v>
      </c>
      <c r="M16" s="36"/>
      <c r="P16" s="32"/>
      <c r="Q16" s="40"/>
      <c r="R16" s="28" t="s">
        <v>148</v>
      </c>
      <c r="S16" s="102">
        <v>90</v>
      </c>
      <c r="T16" s="103">
        <v>30</v>
      </c>
    </row>
    <row r="17" spans="2:18" ht="14.25" customHeight="1" thickTop="1" thickBot="1" x14ac:dyDescent="0.25">
      <c r="B17" s="23"/>
      <c r="C17" s="15" t="s">
        <v>128</v>
      </c>
      <c r="D17" s="9" t="s">
        <v>97</v>
      </c>
      <c r="E17" s="9" t="s">
        <v>98</v>
      </c>
      <c r="F17" s="9" t="s">
        <v>99</v>
      </c>
      <c r="G17" s="9" t="s">
        <v>100</v>
      </c>
      <c r="H17" s="9" t="s">
        <v>101</v>
      </c>
      <c r="I17" s="9" t="s">
        <v>102</v>
      </c>
      <c r="J17" s="31" t="s">
        <v>129</v>
      </c>
      <c r="K17" s="9"/>
      <c r="L17" s="25" t="s">
        <v>127</v>
      </c>
      <c r="M17" s="111">
        <v>8.3333333333333339</v>
      </c>
      <c r="Q17" s="7"/>
    </row>
    <row r="18" spans="2:18" ht="13.5" customHeight="1" thickBot="1" x14ac:dyDescent="0.25">
      <c r="B18" s="213" t="s">
        <v>152</v>
      </c>
      <c r="C18" s="54" t="s">
        <v>97</v>
      </c>
      <c r="D18" s="79">
        <v>0</v>
      </c>
      <c r="E18" s="80">
        <v>4.0357142857142862E-2</v>
      </c>
      <c r="F18" s="80">
        <v>5.171428571428572E-2</v>
      </c>
      <c r="G18" s="80">
        <v>1.7357142857142859E-2</v>
      </c>
      <c r="H18" s="80">
        <v>5.5142857142857153E-2</v>
      </c>
      <c r="I18" s="80">
        <v>5.2999999999999999E-2</v>
      </c>
      <c r="J18" s="81">
        <v>4.1857142857142857E-2</v>
      </c>
      <c r="K18" s="136"/>
      <c r="L18" s="26" t="s">
        <v>130</v>
      </c>
      <c r="M18" s="105">
        <v>9.0909090909090917</v>
      </c>
      <c r="Q18" s="7"/>
    </row>
    <row r="19" spans="2:18" ht="14.25" customHeight="1" thickTop="1" thickBot="1" x14ac:dyDescent="0.25">
      <c r="B19" s="214"/>
      <c r="C19" s="55" t="s">
        <v>118</v>
      </c>
      <c r="D19" s="82">
        <v>3.2357142857142862E-2</v>
      </c>
      <c r="E19" s="83">
        <v>4.1428571428571433E-2</v>
      </c>
      <c r="F19" s="83">
        <v>3.892857142857143E-2</v>
      </c>
      <c r="G19" s="83">
        <v>2.7285714285714281E-2</v>
      </c>
      <c r="H19" s="83">
        <v>2.2785714285714291E-2</v>
      </c>
      <c r="I19" s="83">
        <v>2.9000000000000001E-2</v>
      </c>
      <c r="J19" s="84">
        <v>4.2928571428571427E-2</v>
      </c>
      <c r="K19" s="136"/>
      <c r="L19" s="7"/>
    </row>
    <row r="20" spans="2:18" x14ac:dyDescent="0.2">
      <c r="B20" s="215" t="s">
        <v>153</v>
      </c>
      <c r="C20" s="56" t="s">
        <v>98</v>
      </c>
      <c r="D20" s="79">
        <v>4.0357142857142862E-2</v>
      </c>
      <c r="E20" s="80">
        <v>0</v>
      </c>
      <c r="F20" s="80">
        <v>3.1785714285714292E-2</v>
      </c>
      <c r="G20" s="80">
        <v>2.3E-2</v>
      </c>
      <c r="H20" s="80">
        <v>6.192857142857143E-2</v>
      </c>
      <c r="I20" s="80">
        <v>7.1999999999999995E-2</v>
      </c>
      <c r="J20" s="81">
        <v>1.5E-3</v>
      </c>
      <c r="K20" s="136"/>
    </row>
    <row r="21" spans="2:18" x14ac:dyDescent="0.2">
      <c r="B21" s="216"/>
      <c r="C21" s="57" t="s">
        <v>145</v>
      </c>
      <c r="D21" s="85">
        <v>1.057142857142857E-2</v>
      </c>
      <c r="E21" s="86">
        <v>3.4285714285714287E-2</v>
      </c>
      <c r="F21" s="86">
        <v>4.1142857142857148E-2</v>
      </c>
      <c r="G21" s="86">
        <v>1.128571428571429E-2</v>
      </c>
      <c r="H21" s="86">
        <v>4.4571428571428567E-2</v>
      </c>
      <c r="I21" s="86">
        <v>4.2000000000000003E-2</v>
      </c>
      <c r="J21" s="87">
        <v>3.5785714285714289E-2</v>
      </c>
      <c r="K21" s="136"/>
      <c r="L21" s="49" t="s">
        <v>154</v>
      </c>
    </row>
    <row r="22" spans="2:18" ht="13.5" customHeight="1" thickBot="1" x14ac:dyDescent="0.25">
      <c r="B22" s="216"/>
      <c r="C22" s="57" t="s">
        <v>146</v>
      </c>
      <c r="D22" s="85">
        <v>6.7071428571428574E-2</v>
      </c>
      <c r="E22" s="86">
        <v>6.4000000000000001E-2</v>
      </c>
      <c r="F22" s="86">
        <v>3.9714285714285723E-2</v>
      </c>
      <c r="G22" s="86">
        <v>5.9785714285714289E-2</v>
      </c>
      <c r="H22" s="86">
        <v>2.3785714285714289E-2</v>
      </c>
      <c r="I22" s="86">
        <v>5.3999999999999999E-2</v>
      </c>
      <c r="J22" s="87">
        <v>6.5500000000000003E-2</v>
      </c>
      <c r="K22" s="136"/>
      <c r="L22" s="17" t="s">
        <v>92</v>
      </c>
    </row>
    <row r="23" spans="2:18" ht="13.5" customHeight="1" thickTop="1" x14ac:dyDescent="0.2">
      <c r="B23" s="216"/>
      <c r="C23" s="57" t="s">
        <v>102</v>
      </c>
      <c r="D23" s="85">
        <v>5.2999999999999999E-2</v>
      </c>
      <c r="E23" s="86">
        <v>7.1999999999999995E-2</v>
      </c>
      <c r="F23" s="86">
        <v>6.4000000000000001E-2</v>
      </c>
      <c r="G23" s="86">
        <v>5.2999999999999999E-2</v>
      </c>
      <c r="H23" s="86">
        <v>3.2000000000000001E-2</v>
      </c>
      <c r="I23" s="86">
        <v>0</v>
      </c>
      <c r="J23" s="87">
        <v>7.1999999999999995E-2</v>
      </c>
      <c r="K23" s="136"/>
      <c r="L23" s="62"/>
      <c r="M23" s="217" t="s">
        <v>155</v>
      </c>
    </row>
    <row r="24" spans="2:18" x14ac:dyDescent="0.2">
      <c r="B24" s="216"/>
      <c r="C24" s="57" t="s">
        <v>147</v>
      </c>
      <c r="D24" s="88">
        <v>0</v>
      </c>
      <c r="E24" s="89">
        <v>4.0357142857142862E-2</v>
      </c>
      <c r="F24" s="89">
        <v>5.171428571428572E-2</v>
      </c>
      <c r="G24" s="89">
        <v>1.7357142857142859E-2</v>
      </c>
      <c r="H24" s="89">
        <v>5.5142857142857153E-2</v>
      </c>
      <c r="I24" s="152">
        <v>5.2999999999999999E-2</v>
      </c>
      <c r="J24" s="90">
        <v>4.1857142857142857E-2</v>
      </c>
      <c r="K24" s="148"/>
      <c r="L24" s="53"/>
      <c r="M24" s="218"/>
    </row>
    <row r="25" spans="2:18" ht="13.5" customHeight="1" thickBot="1" x14ac:dyDescent="0.25">
      <c r="B25" s="142"/>
      <c r="C25" s="143" t="s">
        <v>148</v>
      </c>
      <c r="D25" s="144">
        <v>3.2357142857142862E-2</v>
      </c>
      <c r="E25" s="145">
        <v>4.1428571428571433E-2</v>
      </c>
      <c r="F25" s="145">
        <v>3.892857142857143E-2</v>
      </c>
      <c r="G25" s="145">
        <v>2.7285714285714281E-2</v>
      </c>
      <c r="H25" s="145">
        <v>2.2785714285714291E-2</v>
      </c>
      <c r="I25" s="153">
        <v>2.9000000000000001E-2</v>
      </c>
      <c r="J25" s="146">
        <v>4.2928571428571427E-2</v>
      </c>
      <c r="K25" s="148"/>
      <c r="L25" s="63" t="s">
        <v>94</v>
      </c>
      <c r="M25" s="219"/>
    </row>
    <row r="26" spans="2:18" x14ac:dyDescent="0.2">
      <c r="B26" s="141"/>
      <c r="C26" s="7"/>
      <c r="D26" s="147"/>
      <c r="E26" s="147"/>
      <c r="F26" s="147"/>
      <c r="G26" s="147"/>
      <c r="H26" s="147"/>
      <c r="I26" s="147"/>
      <c r="J26" s="19"/>
      <c r="K26" s="19"/>
      <c r="L26" s="64" t="s">
        <v>97</v>
      </c>
      <c r="M26" s="106">
        <v>150</v>
      </c>
    </row>
    <row r="27" spans="2:18" x14ac:dyDescent="0.2">
      <c r="B27" s="7"/>
      <c r="C27" s="8"/>
      <c r="D27" s="8"/>
      <c r="E27" s="8"/>
      <c r="F27" s="8"/>
      <c r="G27" s="8"/>
      <c r="H27" s="8"/>
      <c r="I27" s="19"/>
      <c r="J27" s="19"/>
      <c r="K27" s="19"/>
      <c r="L27" s="64" t="s">
        <v>98</v>
      </c>
      <c r="M27" s="108">
        <v>110</v>
      </c>
    </row>
    <row r="28" spans="2:18" x14ac:dyDescent="0.2">
      <c r="B28" s="34" t="s">
        <v>156</v>
      </c>
      <c r="C28" s="7"/>
      <c r="D28" s="8"/>
      <c r="E28" s="8"/>
      <c r="F28" s="8"/>
      <c r="G28" s="8"/>
      <c r="H28" s="8"/>
      <c r="I28" s="19"/>
      <c r="J28" s="19"/>
      <c r="K28" s="19"/>
      <c r="L28" s="64" t="s">
        <v>99</v>
      </c>
      <c r="M28" s="107">
        <v>100</v>
      </c>
      <c r="R28" s="7"/>
    </row>
    <row r="29" spans="2:18" ht="13.5" customHeight="1" thickBot="1" x14ac:dyDescent="0.25">
      <c r="B29" s="34"/>
      <c r="C29" s="7"/>
      <c r="D29" s="8"/>
      <c r="E29" s="8"/>
      <c r="F29" s="8"/>
      <c r="G29" s="8"/>
      <c r="H29" s="8"/>
      <c r="I29" s="19"/>
      <c r="J29" s="19"/>
      <c r="K29" s="19"/>
      <c r="L29" s="64" t="s">
        <v>100</v>
      </c>
      <c r="M29" s="108">
        <v>105</v>
      </c>
      <c r="R29" s="7"/>
    </row>
    <row r="30" spans="2:18" ht="13.5" customHeight="1" thickTop="1" x14ac:dyDescent="0.2">
      <c r="B30" s="51"/>
      <c r="C30" s="52" t="s">
        <v>157</v>
      </c>
      <c r="D30" s="114" t="s">
        <v>158</v>
      </c>
      <c r="E30" s="35"/>
      <c r="F30" s="8"/>
      <c r="G30" s="8"/>
      <c r="H30" s="8"/>
      <c r="I30" s="19"/>
      <c r="J30" s="19"/>
      <c r="K30" s="19"/>
      <c r="L30" s="64" t="s">
        <v>101</v>
      </c>
      <c r="M30" s="108">
        <v>140</v>
      </c>
    </row>
    <row r="31" spans="2:18" ht="13.5" customHeight="1" thickBot="1" x14ac:dyDescent="0.25">
      <c r="B31" s="24" t="s">
        <v>144</v>
      </c>
      <c r="D31" s="47" t="s">
        <v>159</v>
      </c>
      <c r="E31" s="48" t="s">
        <v>160</v>
      </c>
      <c r="F31" s="8"/>
      <c r="G31" s="8"/>
      <c r="H31" s="8"/>
      <c r="I31" s="19"/>
      <c r="J31" s="19"/>
      <c r="K31" s="19"/>
      <c r="L31" s="64" t="s">
        <v>102</v>
      </c>
      <c r="M31" s="99">
        <v>90</v>
      </c>
    </row>
    <row r="32" spans="2:18" ht="13.5" customHeight="1" thickBot="1" x14ac:dyDescent="0.25">
      <c r="B32" s="23"/>
      <c r="C32" s="18" t="s">
        <v>98</v>
      </c>
      <c r="D32" s="91">
        <v>5</v>
      </c>
      <c r="E32" s="92">
        <v>1</v>
      </c>
      <c r="F32" s="8"/>
      <c r="G32" s="8"/>
      <c r="H32" s="8"/>
      <c r="I32" s="19"/>
      <c r="J32" s="19"/>
      <c r="K32" s="19"/>
      <c r="L32" s="64" t="s">
        <v>103</v>
      </c>
      <c r="M32" s="156">
        <v>30</v>
      </c>
    </row>
    <row r="33" spans="2:13" ht="13.5" customHeight="1" thickBot="1" x14ac:dyDescent="0.25">
      <c r="B33" s="23"/>
      <c r="C33" s="7" t="s">
        <v>145</v>
      </c>
      <c r="D33" s="93">
        <v>4</v>
      </c>
      <c r="E33" s="94">
        <v>0.8</v>
      </c>
      <c r="F33" s="8"/>
      <c r="G33" s="8"/>
      <c r="H33" s="8"/>
      <c r="I33" s="19"/>
      <c r="J33" s="19"/>
      <c r="L33" s="65" t="s">
        <v>104</v>
      </c>
      <c r="M33" s="100">
        <v>725</v>
      </c>
    </row>
    <row r="34" spans="2:13" ht="13.5" customHeight="1" thickTop="1" x14ac:dyDescent="0.2">
      <c r="B34" s="23"/>
      <c r="C34" s="7" t="s">
        <v>146</v>
      </c>
      <c r="D34" s="149">
        <v>3.5</v>
      </c>
      <c r="E34" s="150">
        <v>0.7</v>
      </c>
      <c r="F34" s="8"/>
      <c r="G34" s="8"/>
      <c r="H34" s="8"/>
      <c r="I34" s="19"/>
      <c r="J34" s="19"/>
    </row>
    <row r="35" spans="2:13" x14ac:dyDescent="0.2">
      <c r="B35" s="23"/>
      <c r="C35" s="7" t="s">
        <v>102</v>
      </c>
      <c r="D35" s="95">
        <v>2.5</v>
      </c>
      <c r="E35" s="96">
        <v>0.5</v>
      </c>
      <c r="F35" s="8"/>
      <c r="G35" s="8"/>
      <c r="H35" s="8"/>
      <c r="I35" s="19"/>
      <c r="J35" s="19"/>
    </row>
    <row r="36" spans="2:13" x14ac:dyDescent="0.2">
      <c r="B36" s="25"/>
      <c r="C36" t="s">
        <v>147</v>
      </c>
      <c r="D36" s="95">
        <v>5.5</v>
      </c>
      <c r="E36" s="96">
        <v>1.2</v>
      </c>
      <c r="F36" s="8"/>
      <c r="G36" s="8"/>
      <c r="H36" s="8"/>
      <c r="I36" s="19"/>
      <c r="J36" s="19"/>
    </row>
    <row r="37" spans="2:13" ht="13.5" customHeight="1" thickBot="1" x14ac:dyDescent="0.25">
      <c r="B37" s="26"/>
      <c r="C37" s="40" t="s">
        <v>148</v>
      </c>
      <c r="D37" s="97">
        <v>3.5</v>
      </c>
      <c r="E37" s="98">
        <v>0.9</v>
      </c>
      <c r="F37" s="8"/>
      <c r="G37" s="8"/>
      <c r="H37" s="8"/>
      <c r="I37" s="19"/>
    </row>
    <row r="38" spans="2:13" ht="13.5" customHeight="1" thickTop="1" x14ac:dyDescent="0.2">
      <c r="D38" s="8"/>
      <c r="E38" s="8"/>
    </row>
  </sheetData>
  <mergeCells count="8">
    <mergeCell ref="D6:F6"/>
    <mergeCell ref="M23:M25"/>
    <mergeCell ref="D15:I15"/>
    <mergeCell ref="C7:D7"/>
    <mergeCell ref="E7:I7"/>
    <mergeCell ref="B18:B19"/>
    <mergeCell ref="B20:B24"/>
    <mergeCell ref="D16:I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2.75" x14ac:dyDescent="0.2"/>
  <sheetData>
    <row r="1" spans="1:2" x14ac:dyDescent="0.2">
      <c r="B1">
        <v>1</v>
      </c>
    </row>
    <row r="2" spans="1:2" x14ac:dyDescent="0.2">
      <c r="B2" t="s">
        <v>161</v>
      </c>
    </row>
    <row r="3" spans="1:2" x14ac:dyDescent="0.2">
      <c r="B3">
        <v>1</v>
      </c>
    </row>
    <row r="4" spans="1:2" x14ac:dyDescent="0.2">
      <c r="B4">
        <v>0</v>
      </c>
    </row>
    <row r="5" spans="1:2" x14ac:dyDescent="0.2">
      <c r="B5">
        <v>3.2000000000000001E-2</v>
      </c>
    </row>
    <row r="6" spans="1:2" x14ac:dyDescent="0.2">
      <c r="B6">
        <v>1E-3</v>
      </c>
    </row>
    <row r="8" spans="1:2" x14ac:dyDescent="0.2">
      <c r="A8" s="181"/>
      <c r="B8" s="181"/>
    </row>
    <row r="9" spans="1:2" x14ac:dyDescent="0.2">
      <c r="B9" t="s">
        <v>162</v>
      </c>
    </row>
    <row r="10" spans="1:2" x14ac:dyDescent="0.2">
      <c r="B10">
        <v>1</v>
      </c>
    </row>
    <row r="11" spans="1:2" x14ac:dyDescent="0.2">
      <c r="B11">
        <v>0</v>
      </c>
    </row>
    <row r="12" spans="1:2" x14ac:dyDescent="0.2">
      <c r="B12">
        <v>3.3000000000000002E-2</v>
      </c>
    </row>
    <row r="13" spans="1:2" x14ac:dyDescent="0.2">
      <c r="B13">
        <v>1E-3</v>
      </c>
    </row>
    <row r="15" spans="1:2" x14ac:dyDescent="0.2">
      <c r="B15" s="181"/>
    </row>
    <row r="16" spans="1:2" x14ac:dyDescent="0.2">
      <c r="B16" t="s">
        <v>163</v>
      </c>
    </row>
    <row r="17" spans="2:2" x14ac:dyDescent="0.2">
      <c r="B17" t="s">
        <v>164</v>
      </c>
    </row>
    <row r="18" spans="2:2" x14ac:dyDescent="0.2">
      <c r="B18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6"/>
  <sheetViews>
    <sheetView tabSelected="1" topLeftCell="A62" zoomScale="70" zoomScaleNormal="70" workbookViewId="0">
      <selection activeCell="C5" sqref="C5"/>
    </sheetView>
  </sheetViews>
  <sheetFormatPr defaultRowHeight="12.75" x14ac:dyDescent="0.2"/>
  <cols>
    <col min="1" max="1" width="25" customWidth="1"/>
    <col min="2" max="19" width="12" customWidth="1"/>
  </cols>
  <sheetData>
    <row r="1" spans="1:16" ht="19.5" x14ac:dyDescent="0.2">
      <c r="A1" s="222" t="s">
        <v>166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</row>
    <row r="3" spans="1:16" x14ac:dyDescent="0.2">
      <c r="A3" s="220" t="s">
        <v>167</v>
      </c>
      <c r="B3" s="205"/>
      <c r="C3" s="205"/>
      <c r="D3" s="205"/>
      <c r="E3" s="205"/>
      <c r="F3" s="205"/>
    </row>
    <row r="4" spans="1:16" x14ac:dyDescent="0.2">
      <c r="A4" s="188" t="s">
        <v>168</v>
      </c>
      <c r="B4" s="188" t="s">
        <v>169</v>
      </c>
      <c r="C4" s="188" t="s">
        <v>170</v>
      </c>
    </row>
    <row r="5" spans="1:16" x14ac:dyDescent="0.2">
      <c r="A5" t="s">
        <v>98</v>
      </c>
      <c r="B5" s="189">
        <v>1</v>
      </c>
      <c r="C5" s="189">
        <v>1</v>
      </c>
    </row>
    <row r="6" spans="1:16" x14ac:dyDescent="0.2">
      <c r="A6" t="s">
        <v>145</v>
      </c>
      <c r="B6" s="189">
        <v>0</v>
      </c>
      <c r="C6" s="189">
        <v>0</v>
      </c>
    </row>
    <row r="7" spans="1:16" x14ac:dyDescent="0.2">
      <c r="A7" t="s">
        <v>146</v>
      </c>
      <c r="B7" s="189">
        <v>0</v>
      </c>
      <c r="C7" s="189">
        <v>0</v>
      </c>
    </row>
    <row r="8" spans="1:16" x14ac:dyDescent="0.2">
      <c r="A8" t="s">
        <v>102</v>
      </c>
      <c r="B8" s="189">
        <v>1</v>
      </c>
      <c r="C8" s="189">
        <v>0</v>
      </c>
    </row>
    <row r="9" spans="1:16" x14ac:dyDescent="0.2">
      <c r="A9" t="s">
        <v>147</v>
      </c>
      <c r="B9" s="189">
        <v>0</v>
      </c>
      <c r="C9" s="189">
        <v>0</v>
      </c>
    </row>
    <row r="10" spans="1:16" x14ac:dyDescent="0.2">
      <c r="A10" t="s">
        <v>148</v>
      </c>
      <c r="B10" s="189">
        <v>1</v>
      </c>
      <c r="C10" s="189">
        <v>0</v>
      </c>
    </row>
    <row r="12" spans="1:16" x14ac:dyDescent="0.2">
      <c r="A12" s="220" t="s">
        <v>171</v>
      </c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</row>
    <row r="13" spans="1:16" x14ac:dyDescent="0.2">
      <c r="A13" t="s">
        <v>172</v>
      </c>
      <c r="B13" s="188" t="s">
        <v>97</v>
      </c>
      <c r="C13" s="188" t="s">
        <v>118</v>
      </c>
      <c r="D13" s="188" t="s">
        <v>98</v>
      </c>
      <c r="E13" s="188" t="s">
        <v>145</v>
      </c>
      <c r="F13" s="188" t="s">
        <v>146</v>
      </c>
      <c r="G13" s="188" t="s">
        <v>102</v>
      </c>
      <c r="H13" s="188" t="s">
        <v>147</v>
      </c>
      <c r="I13" s="188" t="s">
        <v>148</v>
      </c>
      <c r="J13" s="188" t="s">
        <v>173</v>
      </c>
      <c r="K13" s="188" t="s">
        <v>133</v>
      </c>
    </row>
    <row r="14" spans="1:16" x14ac:dyDescent="0.2">
      <c r="A14" t="s">
        <v>112</v>
      </c>
      <c r="B14" s="190">
        <v>29.999999999999975</v>
      </c>
      <c r="C14" s="190">
        <v>0</v>
      </c>
      <c r="D14" s="190">
        <v>0</v>
      </c>
      <c r="E14" s="190">
        <v>0</v>
      </c>
      <c r="F14" s="190">
        <v>0</v>
      </c>
      <c r="G14" s="190">
        <v>0</v>
      </c>
      <c r="H14" s="190">
        <v>0</v>
      </c>
      <c r="I14" s="190">
        <v>0</v>
      </c>
      <c r="J14" s="191">
        <f>SUM(B14:I14)</f>
        <v>29.999999999999975</v>
      </c>
      <c r="K14" s="192">
        <v>30</v>
      </c>
    </row>
    <row r="15" spans="1:16" x14ac:dyDescent="0.2">
      <c r="A15" t="s">
        <v>116</v>
      </c>
      <c r="B15" s="190">
        <v>0</v>
      </c>
      <c r="C15" s="190">
        <v>21.000000840000062</v>
      </c>
      <c r="D15" s="190">
        <v>0</v>
      </c>
      <c r="E15" s="190">
        <v>0</v>
      </c>
      <c r="F15" s="190">
        <v>0</v>
      </c>
      <c r="G15" s="190">
        <v>10.800000432000045</v>
      </c>
      <c r="H15" s="190">
        <v>0</v>
      </c>
      <c r="I15" s="190">
        <v>10.800000431999957</v>
      </c>
      <c r="J15" s="191">
        <f>SUM(B15:I15)</f>
        <v>42.600001704000064</v>
      </c>
      <c r="K15" s="192">
        <v>68</v>
      </c>
    </row>
    <row r="16" spans="1:16" x14ac:dyDescent="0.2">
      <c r="A16" t="s">
        <v>119</v>
      </c>
      <c r="B16" s="190">
        <v>1.2000000424450263E-6</v>
      </c>
      <c r="C16" s="190">
        <v>0</v>
      </c>
      <c r="D16" s="190">
        <v>14.400000576000009</v>
      </c>
      <c r="E16" s="190">
        <v>0</v>
      </c>
      <c r="F16" s="190">
        <v>0</v>
      </c>
      <c r="G16" s="190">
        <v>0</v>
      </c>
      <c r="H16" s="190">
        <v>0</v>
      </c>
      <c r="I16" s="190">
        <v>0</v>
      </c>
      <c r="J16" s="191">
        <f>SUM(B16:I16)</f>
        <v>14.400001776000051</v>
      </c>
      <c r="K16" s="192">
        <v>20</v>
      </c>
    </row>
    <row r="18" spans="1:16" x14ac:dyDescent="0.2">
      <c r="A18" s="220" t="s">
        <v>174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</row>
    <row r="19" spans="1:16" x14ac:dyDescent="0.2">
      <c r="A19" t="s">
        <v>175</v>
      </c>
      <c r="B19" s="188" t="s">
        <v>97</v>
      </c>
      <c r="C19" s="188" t="s">
        <v>98</v>
      </c>
      <c r="D19" s="188" t="s">
        <v>99</v>
      </c>
      <c r="E19" s="188" t="s">
        <v>100</v>
      </c>
      <c r="F19" s="188" t="s">
        <v>101</v>
      </c>
      <c r="G19" s="188" t="s">
        <v>102</v>
      </c>
      <c r="H19" s="188" t="s">
        <v>129</v>
      </c>
      <c r="I19" s="188" t="s">
        <v>173</v>
      </c>
    </row>
    <row r="20" spans="1:16" x14ac:dyDescent="0.2">
      <c r="A20" t="s">
        <v>97</v>
      </c>
      <c r="B20" s="190">
        <v>150.00000000000003</v>
      </c>
      <c r="C20" s="190">
        <v>0</v>
      </c>
      <c r="D20" s="190">
        <v>0</v>
      </c>
      <c r="E20" s="190">
        <v>100</v>
      </c>
      <c r="F20" s="190">
        <v>0</v>
      </c>
      <c r="G20" s="190">
        <v>0</v>
      </c>
      <c r="H20" s="190">
        <v>0</v>
      </c>
      <c r="I20" s="191">
        <f t="shared" ref="I20:I27" si="0">SUM(B20:H20)</f>
        <v>250.00000000000003</v>
      </c>
    </row>
    <row r="21" spans="1:16" x14ac:dyDescent="0.2">
      <c r="A21" t="s">
        <v>118</v>
      </c>
      <c r="B21" s="190">
        <v>0</v>
      </c>
      <c r="C21" s="190">
        <v>0</v>
      </c>
      <c r="D21" s="190">
        <v>99.999999999999957</v>
      </c>
      <c r="E21" s="190">
        <v>5.0000000000000071</v>
      </c>
      <c r="F21" s="190">
        <v>50.000000000000419</v>
      </c>
      <c r="G21" s="190">
        <v>0</v>
      </c>
      <c r="H21" s="190">
        <v>19.999999999999986</v>
      </c>
      <c r="I21" s="191">
        <f t="shared" si="0"/>
        <v>175.0000000000004</v>
      </c>
    </row>
    <row r="22" spans="1:16" x14ac:dyDescent="0.2">
      <c r="A22" t="s">
        <v>98</v>
      </c>
      <c r="B22" s="190">
        <v>0</v>
      </c>
      <c r="C22" s="190">
        <v>109.99999999999999</v>
      </c>
      <c r="D22" s="190">
        <v>0</v>
      </c>
      <c r="E22" s="190">
        <v>0</v>
      </c>
      <c r="F22" s="190">
        <v>0</v>
      </c>
      <c r="G22" s="190">
        <v>0</v>
      </c>
      <c r="H22" s="190">
        <v>10.000000000000014</v>
      </c>
      <c r="I22" s="191">
        <f t="shared" si="0"/>
        <v>120</v>
      </c>
    </row>
    <row r="23" spans="1:16" x14ac:dyDescent="0.2">
      <c r="A23" t="s">
        <v>145</v>
      </c>
      <c r="B23" s="190">
        <v>0</v>
      </c>
      <c r="C23" s="190">
        <v>0</v>
      </c>
      <c r="D23" s="190">
        <v>0</v>
      </c>
      <c r="E23" s="190">
        <v>0</v>
      </c>
      <c r="F23" s="190">
        <v>0</v>
      </c>
      <c r="G23" s="190">
        <v>0</v>
      </c>
      <c r="H23" s="190">
        <v>0</v>
      </c>
      <c r="I23" s="191">
        <f t="shared" si="0"/>
        <v>0</v>
      </c>
    </row>
    <row r="24" spans="1:16" x14ac:dyDescent="0.2">
      <c r="A24" t="s">
        <v>146</v>
      </c>
      <c r="B24" s="190">
        <v>0</v>
      </c>
      <c r="C24" s="190">
        <v>0</v>
      </c>
      <c r="D24" s="190">
        <v>7.1054273576010019E-15</v>
      </c>
      <c r="E24" s="190">
        <v>0</v>
      </c>
      <c r="F24" s="190">
        <v>0</v>
      </c>
      <c r="G24" s="190">
        <v>0</v>
      </c>
      <c r="H24" s="190">
        <v>0</v>
      </c>
      <c r="I24" s="191">
        <f t="shared" si="0"/>
        <v>7.1054273576010019E-15</v>
      </c>
    </row>
    <row r="25" spans="1:16" x14ac:dyDescent="0.2">
      <c r="A25" t="s">
        <v>102</v>
      </c>
      <c r="B25" s="190">
        <v>0</v>
      </c>
      <c r="C25" s="190">
        <v>0</v>
      </c>
      <c r="D25" s="190">
        <v>0</v>
      </c>
      <c r="E25" s="190">
        <v>0</v>
      </c>
      <c r="F25" s="190">
        <v>0</v>
      </c>
      <c r="G25" s="190">
        <v>90</v>
      </c>
      <c r="H25" s="190">
        <v>0</v>
      </c>
      <c r="I25" s="191">
        <f t="shared" si="0"/>
        <v>90</v>
      </c>
    </row>
    <row r="26" spans="1:16" x14ac:dyDescent="0.2">
      <c r="A26" t="s">
        <v>147</v>
      </c>
      <c r="B26" s="190">
        <v>0</v>
      </c>
      <c r="C26" s="190">
        <v>0</v>
      </c>
      <c r="D26" s="190">
        <v>0</v>
      </c>
      <c r="E26" s="190">
        <v>0</v>
      </c>
      <c r="F26" s="190">
        <v>0</v>
      </c>
      <c r="G26" s="190">
        <v>0</v>
      </c>
      <c r="H26" s="190">
        <v>0</v>
      </c>
      <c r="I26" s="191">
        <f t="shared" si="0"/>
        <v>0</v>
      </c>
    </row>
    <row r="27" spans="1:16" x14ac:dyDescent="0.2">
      <c r="A27" t="s">
        <v>148</v>
      </c>
      <c r="B27" s="190">
        <v>0</v>
      </c>
      <c r="C27" s="190">
        <v>0</v>
      </c>
      <c r="D27" s="190">
        <v>0</v>
      </c>
      <c r="E27" s="190">
        <v>0</v>
      </c>
      <c r="F27" s="190">
        <v>89.999999999999616</v>
      </c>
      <c r="G27" s="190">
        <v>0</v>
      </c>
      <c r="H27" s="190">
        <v>0</v>
      </c>
      <c r="I27" s="191">
        <f t="shared" si="0"/>
        <v>89.999999999999616</v>
      </c>
    </row>
    <row r="29" spans="1:16" x14ac:dyDescent="0.2">
      <c r="A29" s="193" t="s">
        <v>176</v>
      </c>
      <c r="B29" s="194">
        <f t="shared" ref="B29:H29" si="1">SUM(B20:B27)</f>
        <v>150.00000000000003</v>
      </c>
      <c r="C29" s="194">
        <f t="shared" si="1"/>
        <v>109.99999999999999</v>
      </c>
      <c r="D29" s="194">
        <f t="shared" si="1"/>
        <v>99.999999999999972</v>
      </c>
      <c r="E29" s="194">
        <f t="shared" si="1"/>
        <v>105</v>
      </c>
      <c r="F29" s="194">
        <f t="shared" si="1"/>
        <v>140.00000000000003</v>
      </c>
      <c r="G29" s="194">
        <f t="shared" si="1"/>
        <v>90</v>
      </c>
      <c r="H29" s="194">
        <f t="shared" si="1"/>
        <v>30</v>
      </c>
    </row>
    <row r="30" spans="1:16" x14ac:dyDescent="0.2">
      <c r="A30" s="193" t="s">
        <v>95</v>
      </c>
      <c r="B30" s="195">
        <v>150</v>
      </c>
      <c r="C30" s="195">
        <v>110</v>
      </c>
      <c r="D30" s="195">
        <v>100</v>
      </c>
      <c r="E30" s="195">
        <v>105</v>
      </c>
      <c r="F30" s="195">
        <v>140</v>
      </c>
      <c r="G30" s="195">
        <v>90</v>
      </c>
      <c r="H30" s="195">
        <v>30</v>
      </c>
    </row>
    <row r="32" spans="1:16" x14ac:dyDescent="0.2">
      <c r="A32" s="220" t="s">
        <v>177</v>
      </c>
      <c r="B32" s="205"/>
      <c r="C32" s="205"/>
      <c r="D32" s="205"/>
      <c r="E32" s="205"/>
      <c r="F32" s="205"/>
      <c r="G32" s="205"/>
    </row>
    <row r="33" spans="1:7" x14ac:dyDescent="0.2">
      <c r="A33" s="188" t="s">
        <v>178</v>
      </c>
      <c r="B33" s="188" t="s">
        <v>179</v>
      </c>
      <c r="C33" s="188" t="s">
        <v>180</v>
      </c>
      <c r="D33" s="188" t="s">
        <v>181</v>
      </c>
      <c r="E33" s="188" t="s">
        <v>182</v>
      </c>
      <c r="F33" s="188" t="s">
        <v>183</v>
      </c>
      <c r="G33" s="188" t="s">
        <v>184</v>
      </c>
    </row>
    <row r="34" spans="1:7" x14ac:dyDescent="0.2">
      <c r="A34" t="s">
        <v>97</v>
      </c>
      <c r="B34" s="191">
        <f t="shared" ref="B34:B41" si="2">I20</f>
        <v>250.00000000000003</v>
      </c>
      <c r="C34" s="196">
        <v>250</v>
      </c>
      <c r="D34" s="196">
        <v>0</v>
      </c>
      <c r="E34" s="194">
        <f t="shared" ref="E34:E41" si="3">C34+D34</f>
        <v>250</v>
      </c>
      <c r="F34" s="191">
        <f t="shared" ref="F34:F41" si="4">B34/8.333333</f>
        <v>30.000001200000053</v>
      </c>
      <c r="G34" s="191">
        <f>SUM(B14:B16)</f>
        <v>30.000001200000018</v>
      </c>
    </row>
    <row r="35" spans="1:7" x14ac:dyDescent="0.2">
      <c r="A35" t="s">
        <v>118</v>
      </c>
      <c r="B35" s="191">
        <f t="shared" si="2"/>
        <v>175.0000000000004</v>
      </c>
      <c r="C35" s="196">
        <v>220</v>
      </c>
      <c r="D35" s="196">
        <v>0</v>
      </c>
      <c r="E35" s="194">
        <f t="shared" si="3"/>
        <v>220</v>
      </c>
      <c r="F35" s="191">
        <f t="shared" si="4"/>
        <v>21.000000840000084</v>
      </c>
      <c r="G35" s="191">
        <f>SUM(C14:C16)</f>
        <v>21.000000840000062</v>
      </c>
    </row>
    <row r="36" spans="1:7" x14ac:dyDescent="0.2">
      <c r="A36" t="s">
        <v>98</v>
      </c>
      <c r="B36" s="191">
        <f t="shared" si="2"/>
        <v>120</v>
      </c>
      <c r="C36" s="196">
        <f t="shared" ref="C36:C41" si="5">B5*90</f>
        <v>90</v>
      </c>
      <c r="D36" s="196">
        <f t="shared" ref="D36:D41" si="6">C5*30</f>
        <v>30</v>
      </c>
      <c r="E36" s="194">
        <f t="shared" si="3"/>
        <v>120</v>
      </c>
      <c r="F36" s="191">
        <f t="shared" si="4"/>
        <v>14.400000576000023</v>
      </c>
      <c r="G36" s="191">
        <f>SUM(D14:D16)</f>
        <v>14.400000576000009</v>
      </c>
    </row>
    <row r="37" spans="1:7" x14ac:dyDescent="0.2">
      <c r="A37" t="s">
        <v>145</v>
      </c>
      <c r="B37" s="191">
        <f t="shared" si="2"/>
        <v>0</v>
      </c>
      <c r="C37" s="196">
        <f t="shared" si="5"/>
        <v>0</v>
      </c>
      <c r="D37" s="196">
        <f t="shared" si="6"/>
        <v>0</v>
      </c>
      <c r="E37" s="194">
        <f t="shared" si="3"/>
        <v>0</v>
      </c>
      <c r="F37" s="191">
        <f t="shared" si="4"/>
        <v>0</v>
      </c>
      <c r="G37" s="191">
        <f>SUM(E14:E16)</f>
        <v>0</v>
      </c>
    </row>
    <row r="38" spans="1:7" x14ac:dyDescent="0.2">
      <c r="A38" t="s">
        <v>146</v>
      </c>
      <c r="B38" s="191">
        <f t="shared" si="2"/>
        <v>7.1054273576010019E-15</v>
      </c>
      <c r="C38" s="196">
        <f t="shared" si="5"/>
        <v>0</v>
      </c>
      <c r="D38" s="196">
        <f t="shared" si="6"/>
        <v>0</v>
      </c>
      <c r="E38" s="194">
        <f t="shared" si="3"/>
        <v>0</v>
      </c>
      <c r="F38" s="191">
        <f t="shared" si="4"/>
        <v>8.5265131701817295E-16</v>
      </c>
      <c r="G38" s="191">
        <f>SUM(F14:F16)</f>
        <v>0</v>
      </c>
    </row>
    <row r="39" spans="1:7" x14ac:dyDescent="0.2">
      <c r="A39" t="s">
        <v>102</v>
      </c>
      <c r="B39" s="191">
        <f t="shared" si="2"/>
        <v>90</v>
      </c>
      <c r="C39" s="196">
        <f t="shared" si="5"/>
        <v>90</v>
      </c>
      <c r="D39" s="196">
        <f t="shared" si="6"/>
        <v>0</v>
      </c>
      <c r="E39" s="194">
        <f t="shared" si="3"/>
        <v>90</v>
      </c>
      <c r="F39" s="191">
        <f t="shared" si="4"/>
        <v>10.800000432000017</v>
      </c>
      <c r="G39" s="191">
        <f>SUM(G14:G16)</f>
        <v>10.800000432000045</v>
      </c>
    </row>
    <row r="40" spans="1:7" x14ac:dyDescent="0.2">
      <c r="A40" t="s">
        <v>147</v>
      </c>
      <c r="B40" s="191">
        <f t="shared" si="2"/>
        <v>0</v>
      </c>
      <c r="C40" s="196">
        <f t="shared" si="5"/>
        <v>0</v>
      </c>
      <c r="D40" s="196">
        <f t="shared" si="6"/>
        <v>0</v>
      </c>
      <c r="E40" s="194">
        <f t="shared" si="3"/>
        <v>0</v>
      </c>
      <c r="F40" s="191">
        <f t="shared" si="4"/>
        <v>0</v>
      </c>
      <c r="G40" s="191">
        <f>SUM(H14:H16)</f>
        <v>0</v>
      </c>
    </row>
    <row r="41" spans="1:7" x14ac:dyDescent="0.2">
      <c r="A41" t="s">
        <v>148</v>
      </c>
      <c r="B41" s="191">
        <f t="shared" si="2"/>
        <v>89.999999999999616</v>
      </c>
      <c r="C41" s="196">
        <f t="shared" si="5"/>
        <v>90</v>
      </c>
      <c r="D41" s="196">
        <f t="shared" si="6"/>
        <v>0</v>
      </c>
      <c r="E41" s="194">
        <f t="shared" si="3"/>
        <v>90</v>
      </c>
      <c r="F41" s="191">
        <f t="shared" si="4"/>
        <v>10.800000431999973</v>
      </c>
      <c r="G41" s="191">
        <f>SUM(I14:I16)</f>
        <v>10.800000431999957</v>
      </c>
    </row>
    <row r="44" spans="1:7" x14ac:dyDescent="0.2">
      <c r="A44" s="220" t="s">
        <v>185</v>
      </c>
      <c r="B44" s="205"/>
      <c r="C44" s="205"/>
      <c r="D44" s="205"/>
    </row>
    <row r="45" spans="1:7" x14ac:dyDescent="0.2">
      <c r="A45" s="188" t="s">
        <v>178</v>
      </c>
      <c r="B45" s="188" t="s">
        <v>186</v>
      </c>
      <c r="C45" s="188" t="s">
        <v>187</v>
      </c>
      <c r="D45" s="188" t="s">
        <v>188</v>
      </c>
    </row>
    <row r="46" spans="1:7" x14ac:dyDescent="0.2">
      <c r="A46" t="s">
        <v>98</v>
      </c>
      <c r="B46">
        <f t="shared" ref="B46:C51" si="7">B5</f>
        <v>1</v>
      </c>
      <c r="C46">
        <f t="shared" si="7"/>
        <v>1</v>
      </c>
      <c r="D46" s="197" t="b">
        <f t="shared" ref="D46:D51" si="8">C46&lt;=B46</f>
        <v>1</v>
      </c>
    </row>
    <row r="47" spans="1:7" x14ac:dyDescent="0.2">
      <c r="A47" t="s">
        <v>145</v>
      </c>
      <c r="B47">
        <f t="shared" si="7"/>
        <v>0</v>
      </c>
      <c r="C47">
        <f t="shared" si="7"/>
        <v>0</v>
      </c>
      <c r="D47" s="197" t="b">
        <f t="shared" si="8"/>
        <v>1</v>
      </c>
    </row>
    <row r="48" spans="1:7" x14ac:dyDescent="0.2">
      <c r="A48" t="s">
        <v>146</v>
      </c>
      <c r="B48">
        <f t="shared" si="7"/>
        <v>0</v>
      </c>
      <c r="C48">
        <f t="shared" si="7"/>
        <v>0</v>
      </c>
      <c r="D48" s="197" t="b">
        <f t="shared" si="8"/>
        <v>1</v>
      </c>
    </row>
    <row r="49" spans="1:4" x14ac:dyDescent="0.2">
      <c r="A49" t="s">
        <v>102</v>
      </c>
      <c r="B49">
        <f t="shared" si="7"/>
        <v>1</v>
      </c>
      <c r="C49">
        <f t="shared" si="7"/>
        <v>0</v>
      </c>
      <c r="D49" s="197" t="b">
        <f t="shared" si="8"/>
        <v>1</v>
      </c>
    </row>
    <row r="50" spans="1:4" x14ac:dyDescent="0.2">
      <c r="A50" t="s">
        <v>147</v>
      </c>
      <c r="B50">
        <f t="shared" si="7"/>
        <v>0</v>
      </c>
      <c r="C50">
        <f t="shared" si="7"/>
        <v>0</v>
      </c>
      <c r="D50" s="197" t="b">
        <f t="shared" si="8"/>
        <v>1</v>
      </c>
    </row>
    <row r="51" spans="1:4" x14ac:dyDescent="0.2">
      <c r="A51" t="s">
        <v>148</v>
      </c>
      <c r="B51">
        <f t="shared" si="7"/>
        <v>1</v>
      </c>
      <c r="C51">
        <f t="shared" si="7"/>
        <v>0</v>
      </c>
      <c r="D51" s="197" t="b">
        <f t="shared" si="8"/>
        <v>1</v>
      </c>
    </row>
    <row r="54" spans="1:4" x14ac:dyDescent="0.2">
      <c r="A54" s="220" t="s">
        <v>189</v>
      </c>
      <c r="B54" s="205"/>
      <c r="C54" s="205"/>
    </row>
    <row r="55" spans="1:4" x14ac:dyDescent="0.2">
      <c r="A55" s="198" t="s">
        <v>156</v>
      </c>
    </row>
    <row r="56" spans="1:4" x14ac:dyDescent="0.2">
      <c r="A56" s="188" t="s">
        <v>178</v>
      </c>
      <c r="B56" s="188" t="s">
        <v>190</v>
      </c>
      <c r="C56" s="188" t="s">
        <v>191</v>
      </c>
      <c r="D56" s="188" t="s">
        <v>192</v>
      </c>
    </row>
    <row r="57" spans="1:4" x14ac:dyDescent="0.2">
      <c r="A57" t="s">
        <v>98</v>
      </c>
      <c r="B57" s="199">
        <f>B5*5</f>
        <v>5</v>
      </c>
      <c r="C57" s="199">
        <f>C5*1</f>
        <v>1</v>
      </c>
      <c r="D57" s="199">
        <f t="shared" ref="D57:D62" si="9">B57+C57</f>
        <v>6</v>
      </c>
    </row>
    <row r="58" spans="1:4" x14ac:dyDescent="0.2">
      <c r="A58" t="s">
        <v>145</v>
      </c>
      <c r="B58" s="199">
        <f>B6*4</f>
        <v>0</v>
      </c>
      <c r="C58" s="199">
        <f>C6*0.8</f>
        <v>0</v>
      </c>
      <c r="D58" s="199">
        <f t="shared" si="9"/>
        <v>0</v>
      </c>
    </row>
    <row r="59" spans="1:4" x14ac:dyDescent="0.2">
      <c r="A59" t="s">
        <v>146</v>
      </c>
      <c r="B59" s="199">
        <f>B7*3.5</f>
        <v>0</v>
      </c>
      <c r="C59" s="199">
        <f>C7*0.7</f>
        <v>0</v>
      </c>
      <c r="D59" s="199">
        <f t="shared" si="9"/>
        <v>0</v>
      </c>
    </row>
    <row r="60" spans="1:4" x14ac:dyDescent="0.2">
      <c r="A60" t="s">
        <v>102</v>
      </c>
      <c r="B60" s="199">
        <f>B8*2.5</f>
        <v>2.5</v>
      </c>
      <c r="C60" s="199">
        <f>C8*0.5</f>
        <v>0</v>
      </c>
      <c r="D60" s="199">
        <f t="shared" si="9"/>
        <v>2.5</v>
      </c>
    </row>
    <row r="61" spans="1:4" x14ac:dyDescent="0.2">
      <c r="A61" t="s">
        <v>147</v>
      </c>
      <c r="B61" s="199">
        <f>B9*5.5</f>
        <v>0</v>
      </c>
      <c r="C61" s="199">
        <f>C9*1.2</f>
        <v>0</v>
      </c>
      <c r="D61" s="199">
        <f t="shared" si="9"/>
        <v>0</v>
      </c>
    </row>
    <row r="62" spans="1:4" x14ac:dyDescent="0.2">
      <c r="A62" t="s">
        <v>148</v>
      </c>
      <c r="B62" s="199">
        <f>B10*3.5</f>
        <v>3.5</v>
      </c>
      <c r="C62" s="199">
        <f>C10*0.9</f>
        <v>0</v>
      </c>
      <c r="D62" s="199">
        <f t="shared" si="9"/>
        <v>3.5</v>
      </c>
    </row>
    <row r="63" spans="1:4" x14ac:dyDescent="0.2">
      <c r="A63" s="193" t="s">
        <v>193</v>
      </c>
      <c r="D63" s="200">
        <f>SUM(D57:D62)</f>
        <v>12</v>
      </c>
    </row>
    <row r="65" spans="1:10" x14ac:dyDescent="0.2">
      <c r="A65" s="198" t="s">
        <v>194</v>
      </c>
    </row>
    <row r="66" spans="1:10" x14ac:dyDescent="0.2">
      <c r="A66" t="s">
        <v>195</v>
      </c>
      <c r="B66" s="188" t="s">
        <v>97</v>
      </c>
      <c r="C66" s="188" t="s">
        <v>118</v>
      </c>
      <c r="D66" s="188" t="s">
        <v>98</v>
      </c>
      <c r="E66" s="188" t="s">
        <v>145</v>
      </c>
      <c r="F66" s="188" t="s">
        <v>146</v>
      </c>
      <c r="G66" s="188" t="s">
        <v>102</v>
      </c>
      <c r="H66" s="188" t="s">
        <v>147</v>
      </c>
      <c r="I66" s="188" t="s">
        <v>148</v>
      </c>
      <c r="J66" s="188" t="s">
        <v>196</v>
      </c>
    </row>
    <row r="67" spans="1:10" x14ac:dyDescent="0.2">
      <c r="A67" t="s">
        <v>112</v>
      </c>
      <c r="B67" s="199">
        <f>B14*0.0264374</f>
        <v>0.79312199999999933</v>
      </c>
      <c r="C67" s="199">
        <f>C14*0.0166864</f>
        <v>0</v>
      </c>
      <c r="D67" s="199">
        <f>D14*0.0199204</f>
        <v>0</v>
      </c>
      <c r="E67" s="199">
        <f>E14*0.0191854</f>
        <v>0</v>
      </c>
      <c r="F67" s="199">
        <f>F14*0.0321704</f>
        <v>0</v>
      </c>
      <c r="G67" s="199">
        <f>G14*0.037</f>
        <v>0</v>
      </c>
      <c r="H67" s="199">
        <f>H14*0.0264374</f>
        <v>0</v>
      </c>
      <c r="I67" s="199">
        <f>I14*0.0166864</f>
        <v>0</v>
      </c>
      <c r="J67" s="199">
        <f>SUM(B67:I67)</f>
        <v>0.79312199999999933</v>
      </c>
    </row>
    <row r="68" spans="1:10" x14ac:dyDescent="0.2">
      <c r="A68" t="s">
        <v>116</v>
      </c>
      <c r="B68" s="199">
        <f>B15*0.0368254</f>
        <v>0</v>
      </c>
      <c r="C68" s="199">
        <f>C15*0.0167354</f>
        <v>0.35144341405773705</v>
      </c>
      <c r="D68" s="199">
        <f>D15*0.0308474</f>
        <v>0</v>
      </c>
      <c r="E68" s="199">
        <f>E15*0.0295734</f>
        <v>0</v>
      </c>
      <c r="F68" s="199">
        <f>F15*0.0215374</f>
        <v>0</v>
      </c>
      <c r="G68" s="199">
        <f>G15*0.033</f>
        <v>0.35640001425600154</v>
      </c>
      <c r="H68" s="199">
        <f>H15*0.0368254</f>
        <v>0</v>
      </c>
      <c r="I68" s="199">
        <f>I15*0.0167354</f>
        <v>0.18074232722969208</v>
      </c>
      <c r="J68" s="199">
        <f>SUM(B68:I68)</f>
        <v>0.88858575554343067</v>
      </c>
    </row>
    <row r="69" spans="1:10" x14ac:dyDescent="0.2">
      <c r="A69" t="s">
        <v>119</v>
      </c>
      <c r="B69" s="199">
        <f>B16*0.0317784</f>
        <v>3.813408134883502E-8</v>
      </c>
      <c r="C69" s="199">
        <f>C16*0.0325134</f>
        <v>0</v>
      </c>
      <c r="D69" s="199">
        <f>D16*0.0040934</f>
        <v>5.8944962357798433E-2</v>
      </c>
      <c r="E69" s="199">
        <f>E16*0.0276134</f>
        <v>0</v>
      </c>
      <c r="F69" s="199">
        <f>F16*0.0479974</f>
        <v>0</v>
      </c>
      <c r="G69" s="199">
        <f>G16*0.053</f>
        <v>0</v>
      </c>
      <c r="H69" s="199">
        <f>H16*0.0317784</f>
        <v>0</v>
      </c>
      <c r="I69" s="199">
        <f>I16*0.0325134</f>
        <v>0</v>
      </c>
      <c r="J69" s="199">
        <f>SUM(B69:I69)</f>
        <v>5.8945000491879784E-2</v>
      </c>
    </row>
    <row r="70" spans="1:10" x14ac:dyDescent="0.2">
      <c r="A70" s="193" t="s">
        <v>197</v>
      </c>
      <c r="J70" s="200">
        <f>SUM(J67:J69)</f>
        <v>1.7406527560353098</v>
      </c>
    </row>
    <row r="72" spans="1:10" x14ac:dyDescent="0.2">
      <c r="A72" s="198" t="s">
        <v>198</v>
      </c>
    </row>
    <row r="73" spans="1:10" x14ac:dyDescent="0.2">
      <c r="A73" t="s">
        <v>195</v>
      </c>
      <c r="B73" s="188" t="s">
        <v>97</v>
      </c>
      <c r="C73" s="188" t="s">
        <v>98</v>
      </c>
      <c r="D73" s="188" t="s">
        <v>99</v>
      </c>
      <c r="E73" s="188" t="s">
        <v>100</v>
      </c>
      <c r="F73" s="188" t="s">
        <v>101</v>
      </c>
      <c r="G73" s="188" t="s">
        <v>102</v>
      </c>
      <c r="H73" s="188" t="s">
        <v>129</v>
      </c>
      <c r="I73" s="188" t="s">
        <v>196</v>
      </c>
    </row>
    <row r="74" spans="1:10" x14ac:dyDescent="0.2">
      <c r="A74" t="s">
        <v>97</v>
      </c>
      <c r="B74" s="199">
        <f>B20*0</f>
        <v>0</v>
      </c>
      <c r="C74" s="199">
        <f>C20*0.0403571</f>
        <v>0</v>
      </c>
      <c r="D74" s="199">
        <f>D20*0.0517143</f>
        <v>0</v>
      </c>
      <c r="E74" s="199">
        <f>E20*0.0173571</f>
        <v>1.7357100000000001</v>
      </c>
      <c r="F74" s="199">
        <f>F20*0.0551429</f>
        <v>0</v>
      </c>
      <c r="G74" s="199">
        <f>G20*0.053</f>
        <v>0</v>
      </c>
      <c r="H74" s="199">
        <f>H20*0.0418571</f>
        <v>0</v>
      </c>
      <c r="I74" s="199">
        <f t="shared" ref="I74:I81" si="10">SUM(B74:H74)</f>
        <v>1.7357100000000001</v>
      </c>
    </row>
    <row r="75" spans="1:10" x14ac:dyDescent="0.2">
      <c r="A75" t="s">
        <v>118</v>
      </c>
      <c r="B75" s="199">
        <f>B21*0.0323571</f>
        <v>0</v>
      </c>
      <c r="C75" s="199">
        <f>C21*0.0414286</f>
        <v>0</v>
      </c>
      <c r="D75" s="199">
        <f>D21*0.0389286</f>
        <v>3.8928599999999984</v>
      </c>
      <c r="E75" s="199">
        <f>E21*0.0272857</f>
        <v>0.1364285000000002</v>
      </c>
      <c r="F75" s="199">
        <f>F21*0.0227857</f>
        <v>1.1392850000000094</v>
      </c>
      <c r="G75" s="199">
        <f>G21*0.029</f>
        <v>0</v>
      </c>
      <c r="H75" s="199">
        <f>H21*0.0429286</f>
        <v>0.85857199999999934</v>
      </c>
      <c r="I75" s="199">
        <f t="shared" si="10"/>
        <v>6.0271455000000076</v>
      </c>
    </row>
    <row r="76" spans="1:10" x14ac:dyDescent="0.2">
      <c r="A76" t="s">
        <v>98</v>
      </c>
      <c r="B76" s="199">
        <f>B22*0.0403571</f>
        <v>0</v>
      </c>
      <c r="C76" s="199">
        <f>C22*0</f>
        <v>0</v>
      </c>
      <c r="D76" s="199">
        <f>D22*0.0317857</f>
        <v>0</v>
      </c>
      <c r="E76" s="199">
        <f>E22*0.023</f>
        <v>0</v>
      </c>
      <c r="F76" s="199">
        <f>F22*0.0619286</f>
        <v>0</v>
      </c>
      <c r="G76" s="199">
        <f>G22*0.072</f>
        <v>0</v>
      </c>
      <c r="H76" s="199">
        <f>H22*0.0015</f>
        <v>1.5000000000000022E-2</v>
      </c>
      <c r="I76" s="199">
        <f t="shared" si="10"/>
        <v>1.5000000000000022E-2</v>
      </c>
    </row>
    <row r="77" spans="1:10" x14ac:dyDescent="0.2">
      <c r="A77" t="s">
        <v>145</v>
      </c>
      <c r="B77" s="199">
        <f>B23*0.0105714</f>
        <v>0</v>
      </c>
      <c r="C77" s="199">
        <f>C23*0.0342857</f>
        <v>0</v>
      </c>
      <c r="D77" s="199">
        <f>D23*0.0411429</f>
        <v>0</v>
      </c>
      <c r="E77" s="199">
        <f>E23*0.0112857</f>
        <v>0</v>
      </c>
      <c r="F77" s="199">
        <f>F23*0.0445714</f>
        <v>0</v>
      </c>
      <c r="G77" s="199">
        <f>G23*0.042</f>
        <v>0</v>
      </c>
      <c r="H77" s="199">
        <f>H23*0.0357857</f>
        <v>0</v>
      </c>
      <c r="I77" s="199">
        <f t="shared" si="10"/>
        <v>0</v>
      </c>
    </row>
    <row r="78" spans="1:10" x14ac:dyDescent="0.2">
      <c r="A78" t="s">
        <v>146</v>
      </c>
      <c r="B78" s="199">
        <f>B24*0.0670714</f>
        <v>0</v>
      </c>
      <c r="C78" s="199">
        <f>C24*0.064</f>
        <v>0</v>
      </c>
      <c r="D78" s="199">
        <f>D24*0.0397143</f>
        <v>2.8218707370797348E-16</v>
      </c>
      <c r="E78" s="199">
        <f>E24*0.0597857</f>
        <v>0</v>
      </c>
      <c r="F78" s="199">
        <f>F24*0.0237857</f>
        <v>0</v>
      </c>
      <c r="G78" s="199">
        <f>G24*0.054</f>
        <v>0</v>
      </c>
      <c r="H78" s="199">
        <f>H24*0.0655</f>
        <v>0</v>
      </c>
      <c r="I78" s="199">
        <f t="shared" si="10"/>
        <v>2.8218707370797348E-16</v>
      </c>
    </row>
    <row r="79" spans="1:10" x14ac:dyDescent="0.2">
      <c r="A79" t="s">
        <v>102</v>
      </c>
      <c r="B79" s="199">
        <f>B25*0.053</f>
        <v>0</v>
      </c>
      <c r="C79" s="199">
        <f>C25*0.072</f>
        <v>0</v>
      </c>
      <c r="D79" s="199">
        <f>D25*0.064</f>
        <v>0</v>
      </c>
      <c r="E79" s="199">
        <f>E25*0.053</f>
        <v>0</v>
      </c>
      <c r="F79" s="199">
        <f>F25*0.032</f>
        <v>0</v>
      </c>
      <c r="G79" s="199">
        <f>G25*0</f>
        <v>0</v>
      </c>
      <c r="H79" s="199">
        <f>H25*0.072</f>
        <v>0</v>
      </c>
      <c r="I79" s="199">
        <f t="shared" si="10"/>
        <v>0</v>
      </c>
    </row>
    <row r="80" spans="1:10" x14ac:dyDescent="0.2">
      <c r="A80" t="s">
        <v>147</v>
      </c>
      <c r="B80" s="199">
        <f>B26*0</f>
        <v>0</v>
      </c>
      <c r="C80" s="199">
        <f>C26*0.0403571</f>
        <v>0</v>
      </c>
      <c r="D80" s="199">
        <f>D26*0.0517143</f>
        <v>0</v>
      </c>
      <c r="E80" s="199">
        <f>E26*0.0173571</f>
        <v>0</v>
      </c>
      <c r="F80" s="199">
        <f>F26*0.0551429</f>
        <v>0</v>
      </c>
      <c r="G80" s="199">
        <f>G26*0.053</f>
        <v>0</v>
      </c>
      <c r="H80" s="199">
        <f>H26*0.0418571</f>
        <v>0</v>
      </c>
      <c r="I80" s="199">
        <f t="shared" si="10"/>
        <v>0</v>
      </c>
    </row>
    <row r="81" spans="1:9" x14ac:dyDescent="0.2">
      <c r="A81" t="s">
        <v>148</v>
      </c>
      <c r="B81" s="199">
        <f>B27*0.0323571</f>
        <v>0</v>
      </c>
      <c r="C81" s="199">
        <f>C27*0.0414286</f>
        <v>0</v>
      </c>
      <c r="D81" s="199">
        <f>D27*0.0389286</f>
        <v>0</v>
      </c>
      <c r="E81" s="199">
        <f>E27*0.0272857</f>
        <v>0</v>
      </c>
      <c r="F81" s="199">
        <f>F27*0.0227857</f>
        <v>2.0507129999999911</v>
      </c>
      <c r="G81" s="199">
        <f>G27*0.029</f>
        <v>0</v>
      </c>
      <c r="H81" s="199">
        <f>H27*0.0429286</f>
        <v>0</v>
      </c>
      <c r="I81" s="199">
        <f t="shared" si="10"/>
        <v>2.0507129999999911</v>
      </c>
    </row>
    <row r="82" spans="1:9" x14ac:dyDescent="0.2">
      <c r="A82" s="193" t="s">
        <v>199</v>
      </c>
      <c r="I82" s="200">
        <f>SUM(I74:I81)</f>
        <v>9.8285684999999994</v>
      </c>
    </row>
    <row r="84" spans="1:9" ht="15.75" x14ac:dyDescent="0.2">
      <c r="A84" s="223" t="s">
        <v>200</v>
      </c>
      <c r="B84" s="205"/>
      <c r="C84" s="205"/>
    </row>
    <row r="85" spans="1:9" x14ac:dyDescent="0.2">
      <c r="A85" t="s">
        <v>201</v>
      </c>
      <c r="B85" s="199">
        <f>D63</f>
        <v>12</v>
      </c>
    </row>
    <row r="86" spans="1:9" x14ac:dyDescent="0.2">
      <c r="A86" t="s">
        <v>202</v>
      </c>
      <c r="B86" s="199">
        <f>J70</f>
        <v>1.7406527560353098</v>
      </c>
    </row>
    <row r="87" spans="1:9" x14ac:dyDescent="0.2">
      <c r="A87" t="s">
        <v>203</v>
      </c>
      <c r="B87" s="199">
        <f>I82</f>
        <v>9.8285684999999994</v>
      </c>
    </row>
    <row r="88" spans="1:9" ht="15.75" x14ac:dyDescent="0.25">
      <c r="A88" s="201" t="s">
        <v>204</v>
      </c>
      <c r="B88" s="202">
        <f>B85+B86+B87</f>
        <v>23.569221256035309</v>
      </c>
    </row>
    <row r="90" spans="1:9" ht="15.75" x14ac:dyDescent="0.2">
      <c r="A90" s="221" t="s">
        <v>205</v>
      </c>
      <c r="B90" s="205"/>
      <c r="C90" s="205"/>
      <c r="D90" s="205"/>
      <c r="E90" s="205"/>
      <c r="F90" s="205"/>
    </row>
    <row r="91" spans="1:9" ht="38.25" x14ac:dyDescent="0.2">
      <c r="A91" s="203" t="s">
        <v>206</v>
      </c>
    </row>
    <row r="92" spans="1:9" x14ac:dyDescent="0.2">
      <c r="A92" s="203" t="s">
        <v>207</v>
      </c>
    </row>
    <row r="93" spans="1:9" ht="25.5" x14ac:dyDescent="0.2">
      <c r="A93" s="203" t="s">
        <v>208</v>
      </c>
    </row>
    <row r="94" spans="1:9" x14ac:dyDescent="0.2">
      <c r="A94" s="203" t="s">
        <v>209</v>
      </c>
    </row>
    <row r="95" spans="1:9" x14ac:dyDescent="0.2">
      <c r="A95" s="203" t="s">
        <v>210</v>
      </c>
    </row>
    <row r="96" spans="1:9" x14ac:dyDescent="0.2">
      <c r="A96" s="203" t="s">
        <v>211</v>
      </c>
    </row>
    <row r="97" spans="1:1" x14ac:dyDescent="0.2">
      <c r="A97" s="203" t="s">
        <v>212</v>
      </c>
    </row>
    <row r="98" spans="1:1" ht="25.5" x14ac:dyDescent="0.2">
      <c r="A98" s="203" t="s">
        <v>213</v>
      </c>
    </row>
    <row r="99" spans="1:1" ht="38.25" x14ac:dyDescent="0.2">
      <c r="A99" s="203" t="s">
        <v>214</v>
      </c>
    </row>
    <row r="100" spans="1:1" ht="38.25" x14ac:dyDescent="0.2">
      <c r="A100" s="203" t="s">
        <v>215</v>
      </c>
    </row>
    <row r="101" spans="1:1" ht="38.25" x14ac:dyDescent="0.2">
      <c r="A101" s="203" t="s">
        <v>216</v>
      </c>
    </row>
    <row r="102" spans="1:1" ht="38.25" x14ac:dyDescent="0.2">
      <c r="A102" s="203" t="s">
        <v>217</v>
      </c>
    </row>
    <row r="103" spans="1:1" ht="25.5" x14ac:dyDescent="0.2">
      <c r="A103" s="203" t="s">
        <v>218</v>
      </c>
    </row>
    <row r="104" spans="1:1" x14ac:dyDescent="0.2">
      <c r="A104" s="203" t="s">
        <v>219</v>
      </c>
    </row>
    <row r="105" spans="1:1" ht="51" x14ac:dyDescent="0.2">
      <c r="A105" s="203" t="s">
        <v>220</v>
      </c>
    </row>
    <row r="106" spans="1:1" x14ac:dyDescent="0.2">
      <c r="A106" s="203" t="s">
        <v>221</v>
      </c>
    </row>
  </sheetData>
  <mergeCells count="9">
    <mergeCell ref="A32:G32"/>
    <mergeCell ref="A90:F90"/>
    <mergeCell ref="A1:P1"/>
    <mergeCell ref="A84:C84"/>
    <mergeCell ref="A18:P18"/>
    <mergeCell ref="A12:P12"/>
    <mergeCell ref="A3:F3"/>
    <mergeCell ref="A54:C5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Sensitivity Report 1</vt:lpstr>
      <vt:lpstr>Current</vt:lpstr>
      <vt:lpstr>LongTermData</vt:lpstr>
      <vt:lpstr>Q4_CapacityExpansion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Sibel Salman and Murat Koksalan</dc:creator>
  <cp:lastModifiedBy>AJ Levin Santalone</cp:lastModifiedBy>
  <cp:lastPrinted>2003-04-22T15:33:21Z</cp:lastPrinted>
  <dcterms:created xsi:type="dcterms:W3CDTF">1999-05-07T21:16:48Z</dcterms:created>
  <dcterms:modified xsi:type="dcterms:W3CDTF">2026-02-15T15:53:59Z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-1166517355</vt:i4>
  </property>
  <property fmtid="{D5CDD505-2E9C-101B-9397-08002B2CF9AE}" pid="3" name="_EmailSubject">
    <vt:lpwstr>efes mip solution file</vt:lpwstr>
  </property>
  <property fmtid="{D5CDD505-2E9C-101B-9397-08002B2CF9AE}" pid="4" name="_AuthorEmail">
    <vt:lpwstr>ikim@mgmt.purdue.edu</vt:lpwstr>
  </property>
  <property fmtid="{D5CDD505-2E9C-101B-9397-08002B2CF9AE}" pid="5" name="_AuthorEmailDisplayName">
    <vt:lpwstr>Ilhyung Kim</vt:lpwstr>
  </property>
  <property fmtid="{D5CDD505-2E9C-101B-9397-08002B2CF9AE}" pid="6" name="_ReviewingToolsShownOnce">
    <vt:lpwstr/>
  </property>
</Properties>
</file>